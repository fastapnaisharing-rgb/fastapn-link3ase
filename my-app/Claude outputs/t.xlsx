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licerCaches/slicerCache1.xml" ContentType="application/vnd.ms-excel.slicerCache+xml"/>
  <Override PartName="/xl/slicerCaches/slicerCache2.xml" ContentType="application/vnd.ms-excel.slicerCache+xml"/>
  <Override PartName="/xl/slicers/slicer1.xml" ContentType="application/vnd.ms-excel.slicer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activeTab="0"/>
  </bookViews>
  <sheets>
    <sheet sheetId="1" name="Incompleted_Pivot" state="visible" r:id="rId4"/>
    <sheet sheetId="2" name="ICP_Report_BU" state="visible" r:id="rId5"/>
    <sheet sheetId="3" name="Aging Summary" state="visible" r:id="rId6"/>
  </sheets>
  <definedNames>
    <definedName name="Slicer_Aging">#N/A</definedName>
    <definedName name="Slicer_Tax_Group">#N/A</definedName>
  </definedNames>
  <calcPr calcId="171027"/>
  <pivotCaches>
    <pivotCache cacheId="1" r:id="rIdPivotCache1"/>
  </pivotCaches>
  <extLst>
    <ext xmlns:x14="http://schemas.microsoft.com/office/spreadsheetml/2009/9/main" uri="{BBE1A952-AA13-448e-AADC-164F8A28A991}">
      <x14:slicerCaches>
        <x14:slicerCache r:id="rIdSlicerCache1"/>
        <x14:slicerCache r:id="rIdSlicerCache2"/>
      </x14:slicerCaches>
    </ext>
  </extLst>
</workbook>
</file>

<file path=xl/sharedStrings.xml><?xml version="1.0" encoding="utf-8"?>
<sst xmlns="http://schemas.openxmlformats.org/spreadsheetml/2006/main" count="522" uniqueCount="150">
  <si>
    <t>รายการใบกำกับภาษีที่ยังไม่ได้รับ — BTM</t>
  </si>
  <si>
    <t>Period: 2026-09   |   จำนวนรายการ: 30   |   สร้างเมื่อ: 03/10/2026, 09:22:56</t>
  </si>
  <si>
    <t>* Pivot Table จริง -- ถ้าตัวเลขไม่ขึ้น กด Data &gt; Refresh All  |  เลือก Aging / Asset-Expense ได้ที่ Slicer ด้านบน</t>
  </si>
  <si>
    <t>ว.ด.ป.</t>
  </si>
  <si>
    <t>เลขที่</t>
  </si>
  <si>
    <t>Site</t>
  </si>
  <si>
    <t>Pay Group</t>
  </si>
  <si>
    <t>Branch</t>
  </si>
  <si>
    <t>ประเภทภาษี</t>
  </si>
  <si>
    <t>ใบแจ้งหนี้</t>
  </si>
  <si>
    <t>Supplier Code</t>
  </si>
  <si>
    <t>ชื่อผู้ค้า</t>
  </si>
  <si>
    <t>Business</t>
  </si>
  <si>
    <t>ชำระเงิน</t>
  </si>
  <si>
    <t>เช็ค</t>
  </si>
  <si>
    <t>เลขที่เช็ค</t>
  </si>
  <si>
    <t>Receive Doc.</t>
  </si>
  <si>
    <t>มูลค่าสินค้า</t>
  </si>
  <si>
    <t>เงินภาษี</t>
  </si>
  <si>
    <t>BU</t>
  </si>
  <si>
    <t>Aging</t>
  </si>
  <si>
    <t>Period</t>
  </si>
  <si>
    <t>Tax Group</t>
  </si>
  <si>
    <t>Related Persons</t>
  </si>
  <si>
    <t>AP Batch Name</t>
  </si>
  <si>
    <t>2026-08-14</t>
  </si>
  <si>
    <t>D0</t>
  </si>
  <si>
    <t>S</t>
  </si>
  <si>
    <t>P</t>
  </si>
  <si>
    <t>A01</t>
  </si>
  <si>
    <t>V</t>
  </si>
  <si>
    <t>INV0</t>
  </si>
  <si>
    <t>BTM-V0</t>
  </si>
  <si>
    <t>Vendor 0</t>
  </si>
  <si>
    <t>X</t>
  </si>
  <si>
    <t>7000</t>
  </si>
  <si>
    <t>BTM</t>
  </si>
  <si>
    <t>aging 0 month</t>
  </si>
  <si>
    <t>2026-09</t>
  </si>
  <si>
    <t>Expense</t>
  </si>
  <si>
    <t>Thidarat</t>
  </si>
  <si>
    <t>D1</t>
  </si>
  <si>
    <t>T01</t>
  </si>
  <si>
    <t>INV1</t>
  </si>
  <si>
    <t>BTM-V1</t>
  </si>
  <si>
    <t>Vendor 1</t>
  </si>
  <si>
    <t>7001</t>
  </si>
  <si>
    <t>aging 1 month</t>
  </si>
  <si>
    <t>Asset</t>
  </si>
  <si>
    <t>D2</t>
  </si>
  <si>
    <t>INV2</t>
  </si>
  <si>
    <t>BTM-V2</t>
  </si>
  <si>
    <t>Vendor 2</t>
  </si>
  <si>
    <t>7002</t>
  </si>
  <si>
    <t>aging 2 month</t>
  </si>
  <si>
    <t>D3</t>
  </si>
  <si>
    <t>INV3</t>
  </si>
  <si>
    <t>BTM-V3</t>
  </si>
  <si>
    <t>Vendor 3</t>
  </si>
  <si>
    <t>7003</t>
  </si>
  <si>
    <t>aging 3 month</t>
  </si>
  <si>
    <t>D4</t>
  </si>
  <si>
    <t>INV4</t>
  </si>
  <si>
    <t>7004</t>
  </si>
  <si>
    <t>aging 4 month</t>
  </si>
  <si>
    <t>D5</t>
  </si>
  <si>
    <t>INV5</t>
  </si>
  <si>
    <t>7005</t>
  </si>
  <si>
    <t>aging 5 month</t>
  </si>
  <si>
    <t>D6</t>
  </si>
  <si>
    <t>INV6</t>
  </si>
  <si>
    <t>7006</t>
  </si>
  <si>
    <t>aging 6 month</t>
  </si>
  <si>
    <t>D7</t>
  </si>
  <si>
    <t>INV7</t>
  </si>
  <si>
    <t>7007</t>
  </si>
  <si>
    <t>D8</t>
  </si>
  <si>
    <t>INV8</t>
  </si>
  <si>
    <t>7008</t>
  </si>
  <si>
    <t>D9</t>
  </si>
  <si>
    <t>INV9</t>
  </si>
  <si>
    <t>7009</t>
  </si>
  <si>
    <t>D10</t>
  </si>
  <si>
    <t>INV10</t>
  </si>
  <si>
    <t>70010</t>
  </si>
  <si>
    <t>D11</t>
  </si>
  <si>
    <t>INV11</t>
  </si>
  <si>
    <t>70011</t>
  </si>
  <si>
    <t>D12</t>
  </si>
  <si>
    <t>INV12</t>
  </si>
  <si>
    <t>70012</t>
  </si>
  <si>
    <t>D13</t>
  </si>
  <si>
    <t>INV13</t>
  </si>
  <si>
    <t>70013</t>
  </si>
  <si>
    <t>D14</t>
  </si>
  <si>
    <t>INV14</t>
  </si>
  <si>
    <t>70014</t>
  </si>
  <si>
    <t>D15</t>
  </si>
  <si>
    <t>INV15</t>
  </si>
  <si>
    <t>70015</t>
  </si>
  <si>
    <t>D16</t>
  </si>
  <si>
    <t>INV16</t>
  </si>
  <si>
    <t>70016</t>
  </si>
  <si>
    <t>D17</t>
  </si>
  <si>
    <t>INV17</t>
  </si>
  <si>
    <t>70017</t>
  </si>
  <si>
    <t>D18</t>
  </si>
  <si>
    <t>INV18</t>
  </si>
  <si>
    <t>70018</t>
  </si>
  <si>
    <t>D19</t>
  </si>
  <si>
    <t>INV19</t>
  </si>
  <si>
    <t>70019</t>
  </si>
  <si>
    <t>D20</t>
  </si>
  <si>
    <t>INV20</t>
  </si>
  <si>
    <t>70020</t>
  </si>
  <si>
    <t>D21</t>
  </si>
  <si>
    <t>INV21</t>
  </si>
  <si>
    <t>70021</t>
  </si>
  <si>
    <t>D22</t>
  </si>
  <si>
    <t>INV22</t>
  </si>
  <si>
    <t>70022</t>
  </si>
  <si>
    <t>D23</t>
  </si>
  <si>
    <t>INV23</t>
  </si>
  <si>
    <t>70023</t>
  </si>
  <si>
    <t>D24</t>
  </si>
  <si>
    <t>INV24</t>
  </si>
  <si>
    <t>70024</t>
  </si>
  <si>
    <t>D25</t>
  </si>
  <si>
    <t>INV25</t>
  </si>
  <si>
    <t>70025</t>
  </si>
  <si>
    <t>D26</t>
  </si>
  <si>
    <t>INV26</t>
  </si>
  <si>
    <t>70026</t>
  </si>
  <si>
    <t>D27</t>
  </si>
  <si>
    <t>INV27</t>
  </si>
  <si>
    <t>70027</t>
  </si>
  <si>
    <t>D28</t>
  </si>
  <si>
    <t>INV28</t>
  </si>
  <si>
    <t>70028</t>
  </si>
  <si>
    <t>D29</t>
  </si>
  <si>
    <t>INV29</t>
  </si>
  <si>
    <t>70029</t>
  </si>
  <si>
    <t>Summary Vat</t>
  </si>
  <si>
    <t>March 2026</t>
  </si>
  <si>
    <t>April 2026</t>
  </si>
  <si>
    <t>May 2026</t>
  </si>
  <si>
    <t>June 2026</t>
  </si>
  <si>
    <t>July 2026</t>
  </si>
  <si>
    <t>August 2026</t>
  </si>
  <si>
    <t>September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</si>
</sst>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m-yy"/>
  </numFmts>
  <fonts count="5" x14ac:knownFonts="1">
    <font>
      <sz val="11"/>
      <color theme="1"/>
      <name val="Tahoma"/>
      <family val="2"/>
    </font>
    <font>
      <b/>
      <color rgb="FF1A3A5C"/>
      <sz val="14"/>
    </font>
    <font>
      <color rgb="FF666666"/>
    </font>
    <font>
      <i/>
      <color rgb="FF999999"/>
      <sz val="9"/>
    </font>
    <font>
      <color rgb="FF00206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4" fontId="0" fillId="0" borderId="0" xfId="0" applyNumberFormat="1"/>
    <xf numFmtId="4" fontId="0" fillId="0" borderId="0" xfId="0" applyNumberFormat="1"/>
    <xf numFmtId="0" fontId="4" fillId="2" borderId="0" xfId="0" applyFont="1" applyFill="1" applyAlignment="1">
      <alignment horizontal="center" vertical="center"/>
    </xf>
    <xf numFmtId="164" fontId="4" fillId="2" borderId="0" xfId="0" applyNumberFormat="1" applyFont="1" applyFill="1" applyAlignment="1">
      <alignment horizontal="center" vertical="center"/>
    </xf>
    <xf numFmtId="4" fontId="4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PivotCache1" Type="http://schemas.openxmlformats.org/officeDocument/2006/relationships/pivotCacheDefinition" Target="pivotCache/pivotCacheDefinition1.xml"/><Relationship Id="rIdSlicerCache1" Type="http://schemas.microsoft.com/office/2007/relationships/slicerCache" Target="slicerCaches/slicerCache1.xml"/><Relationship Id="rIdSlicerCache2" Type="http://schemas.microsoft.com/office/2007/relationships/slicerCache" Target="slicerCaches/slicerCache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7</xdr:col>
      <xdr:colOff>0</xdr:colOff>
      <xdr:row>7</xdr:row>
      <xdr:rowOff>95250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Aging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ging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00000" y="600000"/>
              <a:ext cx="3400000" cy="1100000"/>
            </a:xfrm>
            <a:prstGeom prst="rect">
              <a:avLst/>
            </a:prstGeom>
            <a:solidFill>
              <a:prstClr val="white"/>
            </a:solidFill>
          </xdr:spPr>
          <xdr:txBody>
            <a:bodyPr vertOverflow="clip" horzOverflow="clip"/>
            <a:lstStyle/>
            <a:p>
              <a:r>
                <a:rPr lang="en-US" sz="1100"/>
                <a:t>Slicer (Excel 2010+)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0</xdr:colOff>
      <xdr:row>3</xdr:row>
      <xdr:rowOff>0</xdr:rowOff>
    </xdr:from>
    <xdr:to>
      <xdr:col>9</xdr:col>
      <xdr:colOff>0</xdr:colOff>
      <xdr:row>7</xdr:row>
      <xdr:rowOff>95250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Tax Group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ax Group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00000" y="600000"/>
              <a:ext cx="3400000" cy="1100000"/>
            </a:xfrm>
            <a:prstGeom prst="rect">
              <a:avLst/>
            </a:prstGeom>
            <a:solidFill>
              <a:prstClr val="white"/>
            </a:solidFill>
          </xdr:spPr>
          <xdr:txBody>
            <a:bodyPr vertOverflow="clip" horzOverflow="clip"/>
            <a:lstStyle/>
            <a:p>
              <a:r>
                <a:rPr lang="en-US" sz="1100"/>
                <a:t>Slicer (Excel 2010+)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refreshedBy="Link3ase" refreshedDate="46298.099261" createdVersion="6" refreshedVersion="6" minRefreshableVersion="3" recordCount="30">
  <cacheSource type="worksheet">
    <worksheetSource ref="A1:V31" sheet="ICP_Report_BU"/>
  </cacheSource>
  <cacheFields count="22">
    <cacheField name="ว.ด.ป." numFmtId="0">
      <sharedItems/>
    </cacheField>
    <cacheField name="เลขที่" numFmtId="0">
      <sharedItems/>
    </cacheField>
    <cacheField name="Site" numFmtId="0">
      <sharedItems/>
    </cacheField>
    <cacheField name="Pay Group" numFmtId="0">
      <sharedItems/>
    </cacheField>
    <cacheField name="Branch" numFmtId="0">
      <sharedItems/>
    </cacheField>
    <cacheField name="ประเภทภาษี" numFmtId="0">
      <sharedItems/>
    </cacheField>
    <cacheField name="ใบแจ้งหนี้" numFmtId="0">
      <sharedItems count="30">
        <s v="INV0"/>
        <s v="INV1"/>
        <s v="INV10"/>
        <s v="INV11"/>
        <s v="INV12"/>
        <s v="INV13"/>
        <s v="INV14"/>
        <s v="INV15"/>
        <s v="INV16"/>
        <s v="INV17"/>
        <s v="INV18"/>
        <s v="INV19"/>
        <s v="INV2"/>
        <s v="INV20"/>
        <s v="INV21"/>
        <s v="INV22"/>
        <s v="INV23"/>
        <s v="INV24"/>
        <s v="INV25"/>
        <s v="INV26"/>
        <s v="INV27"/>
        <s v="INV28"/>
        <s v="INV29"/>
        <s v="INV3"/>
        <s v="INV4"/>
        <s v="INV5"/>
        <s v="INV6"/>
        <s v="INV7"/>
        <s v="INV8"/>
        <s v="INV9"/>
      </sharedItems>
    </cacheField>
    <cacheField name="Supplier Code" numFmtId="0">
      <sharedItems count="4">
        <s v="BTM-V0"/>
        <s v="BTM-V1"/>
        <s v="BTM-V2"/>
        <s v="BTM-V3"/>
      </sharedItems>
    </cacheField>
    <cacheField name="ชื่อผู้ค้า" numFmtId="0">
      <sharedItems count="4">
        <s v="Vendor 0"/>
        <s v="Vendor 1"/>
        <s v="Vendor 2"/>
        <s v="Vendor 3"/>
      </sharedItems>
    </cacheField>
    <cacheField name="Business" numFmtId="0">
      <sharedItems/>
    </cacheField>
    <cacheField name="ชำระเงิน" numFmtId="15">
      <sharedItems containsSemiMixedTypes="0" containsNonDate="0" containsDate="1" containsString="0" minDate="2026-08-14T00:00:00" maxDate="2026-08-14T00:00:00" count="1">
        <d v="2026-08-14T00:00:00"/>
      </sharedItems>
    </cacheField>
    <cacheField name="เช็ค" numFmtId="15">
      <sharedItems containsSemiMixedTypes="0" containsNonDate="0" containsDate="1" containsString="0" minDate="2026-08-14T00:00:00" maxDate="2026-08-14T00:00:00"/>
    </cacheField>
    <cacheField name="เลขที่เช็ค" numFmtId="0">
      <sharedItems count="30">
        <s v="7000"/>
        <s v="7001"/>
        <s v="70010"/>
        <s v="70011"/>
        <s v="70012"/>
        <s v="70013"/>
        <s v="70014"/>
        <s v="70015"/>
        <s v="70016"/>
        <s v="70017"/>
        <s v="70018"/>
        <s v="70019"/>
        <s v="7002"/>
        <s v="70020"/>
        <s v="70021"/>
        <s v="70022"/>
        <s v="70023"/>
        <s v="70024"/>
        <s v="70025"/>
        <s v="70026"/>
        <s v="70027"/>
        <s v="70028"/>
        <s v="70029"/>
        <s v="7003"/>
        <s v="7004"/>
        <s v="7005"/>
        <s v="7006"/>
        <s v="7007"/>
        <s v="7008"/>
        <s v="7009"/>
      </sharedItems>
    </cacheField>
    <cacheField name="Receive Doc." numFmtId="0">
      <sharedItems containsBlank="1"/>
    </cacheField>
    <cacheField name="มูลค่าสินค้า" numFmtId="4">
      <sharedItems containsSemiMixedTypes="0" containsString="0" containsNumber="1" minValue="1000" maxValue="1029"/>
    </cacheField>
    <cacheField name="เงินภาษี" numFmtId="4">
      <sharedItems containsSemiMixedTypes="0" containsString="0" containsNumber="1" minValue="70" maxValue="99"/>
    </cacheField>
    <cacheField name="BU" numFmtId="0">
      <sharedItems count="1">
        <s v="BTM"/>
      </sharedItems>
    </cacheField>
    <cacheField name="Aging" numFmtId="0">
      <sharedItems count="7">
        <s v="aging 6 month"/>
        <s v="aging 5 month"/>
        <s v="aging 4 month"/>
        <s v="aging 3 month"/>
        <s v="aging 2 month"/>
        <s v="aging 1 month"/>
        <s v="aging 0 month"/>
      </sharedItems>
    </cacheField>
    <cacheField name="Period" numFmtId="0">
      <sharedItems/>
    </cacheField>
    <cacheField name="Tax Group" numFmtId="0">
      <sharedItems count="2">
        <s v="Asset"/>
        <s v="Expense"/>
      </sharedItems>
    </cacheField>
    <cacheField name="Related Persons" numFmtId="0">
      <sharedItems count="1">
        <s v="Thidarat"/>
      </sharedItems>
    </cacheField>
    <cacheField name="AP Batch Name" numFmtId="0">
      <sharedItems containsBlank="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">
  <r>
    <s v="2026-08-14"/>
    <s v="D0"/>
    <s v="S"/>
    <s v="P"/>
    <s v="A01"/>
    <s v="V"/>
    <x v="0"/>
    <x v="0"/>
    <x v="0"/>
    <s v="X"/>
    <x v="0"/>
    <d v="2026-08-14T00:00:00"/>
    <x v="0"/>
    <m/>
    <n v="1000"/>
    <n v="70"/>
    <x v="0"/>
    <x v="6"/>
    <s v="2026-09"/>
    <x v="1"/>
    <x v="0"/>
    <m/>
  </r>
  <r>
    <s v="2026-08-14"/>
    <s v="D1"/>
    <s v="S"/>
    <s v="P"/>
    <s v="T01"/>
    <s v="V"/>
    <x v="1"/>
    <x v="1"/>
    <x v="1"/>
    <s v="X"/>
    <x v="0"/>
    <d v="2026-08-14T00:00:00"/>
    <x v="1"/>
    <m/>
    <n v="1001"/>
    <n v="71"/>
    <x v="0"/>
    <x v="5"/>
    <s v="2026-09"/>
    <x v="0"/>
    <x v="0"/>
    <m/>
  </r>
  <r>
    <s v="2026-08-14"/>
    <s v="D2"/>
    <s v="S"/>
    <s v="P"/>
    <s v="T01"/>
    <s v="V"/>
    <x v="12"/>
    <x v="2"/>
    <x v="2"/>
    <s v="X"/>
    <x v="0"/>
    <d v="2026-08-14T00:00:00"/>
    <x v="12"/>
    <m/>
    <n v="1002"/>
    <n v="72"/>
    <x v="0"/>
    <x v="4"/>
    <s v="2026-09"/>
    <x v="0"/>
    <x v="0"/>
    <m/>
  </r>
  <r>
    <s v="2026-08-14"/>
    <s v="D3"/>
    <s v="S"/>
    <s v="P"/>
    <s v="A01"/>
    <s v="V"/>
    <x v="23"/>
    <x v="3"/>
    <x v="3"/>
    <s v="X"/>
    <x v="0"/>
    <d v="2026-08-14T00:00:00"/>
    <x v="23"/>
    <m/>
    <n v="1003"/>
    <n v="73"/>
    <x v="0"/>
    <x v="3"/>
    <s v="2026-09"/>
    <x v="1"/>
    <x v="0"/>
    <m/>
  </r>
  <r>
    <s v="2026-08-14"/>
    <s v="D4"/>
    <s v="S"/>
    <s v="P"/>
    <s v="T01"/>
    <s v="V"/>
    <x v="24"/>
    <x v="0"/>
    <x v="0"/>
    <s v="X"/>
    <x v="0"/>
    <d v="2026-08-14T00:00:00"/>
    <x v="24"/>
    <m/>
    <n v="1004"/>
    <n v="74"/>
    <x v="0"/>
    <x v="2"/>
    <s v="2026-09"/>
    <x v="0"/>
    <x v="0"/>
    <m/>
  </r>
  <r>
    <s v="2026-08-14"/>
    <s v="D5"/>
    <s v="S"/>
    <s v="P"/>
    <s v="T01"/>
    <s v="V"/>
    <x v="25"/>
    <x v="1"/>
    <x v="1"/>
    <s v="X"/>
    <x v="0"/>
    <d v="2026-08-14T00:00:00"/>
    <x v="25"/>
    <m/>
    <n v="1005"/>
    <n v="75"/>
    <x v="0"/>
    <x v="1"/>
    <s v="2026-09"/>
    <x v="0"/>
    <x v="0"/>
    <m/>
  </r>
  <r>
    <s v="2026-08-14"/>
    <s v="D6"/>
    <s v="S"/>
    <s v="P"/>
    <s v="A01"/>
    <s v="V"/>
    <x v="26"/>
    <x v="2"/>
    <x v="2"/>
    <s v="X"/>
    <x v="0"/>
    <d v="2026-08-14T00:00:00"/>
    <x v="26"/>
    <m/>
    <n v="1006"/>
    <n v="76"/>
    <x v="0"/>
    <x v="0"/>
    <s v="2026-09"/>
    <x v="1"/>
    <x v="0"/>
    <m/>
  </r>
  <r>
    <s v="2026-08-14"/>
    <s v="D7"/>
    <s v="S"/>
    <s v="P"/>
    <s v="T01"/>
    <s v="V"/>
    <x v="27"/>
    <x v="3"/>
    <x v="3"/>
    <s v="X"/>
    <x v="0"/>
    <d v="2026-08-14T00:00:00"/>
    <x v="27"/>
    <m/>
    <n v="1007"/>
    <n v="77"/>
    <x v="0"/>
    <x v="6"/>
    <s v="2026-09"/>
    <x v="0"/>
    <x v="0"/>
    <m/>
  </r>
  <r>
    <s v="2026-08-14"/>
    <s v="D8"/>
    <s v="S"/>
    <s v="P"/>
    <s v="T01"/>
    <s v="V"/>
    <x v="28"/>
    <x v="0"/>
    <x v="0"/>
    <s v="X"/>
    <x v="0"/>
    <d v="2026-08-14T00:00:00"/>
    <x v="28"/>
    <m/>
    <n v="1008"/>
    <n v="78"/>
    <x v="0"/>
    <x v="5"/>
    <s v="2026-09"/>
    <x v="0"/>
    <x v="0"/>
    <m/>
  </r>
  <r>
    <s v="2026-08-14"/>
    <s v="D9"/>
    <s v="S"/>
    <s v="P"/>
    <s v="A01"/>
    <s v="V"/>
    <x v="29"/>
    <x v="1"/>
    <x v="1"/>
    <s v="X"/>
    <x v="0"/>
    <d v="2026-08-14T00:00:00"/>
    <x v="29"/>
    <m/>
    <n v="1009"/>
    <n v="79"/>
    <x v="0"/>
    <x v="4"/>
    <s v="2026-09"/>
    <x v="1"/>
    <x v="0"/>
    <m/>
  </r>
  <r>
    <s v="2026-08-14"/>
    <s v="D10"/>
    <s v="S"/>
    <s v="P"/>
    <s v="T01"/>
    <s v="V"/>
    <x v="2"/>
    <x v="2"/>
    <x v="2"/>
    <s v="X"/>
    <x v="0"/>
    <d v="2026-08-14T00:00:00"/>
    <x v="2"/>
    <m/>
    <n v="1010"/>
    <n v="80"/>
    <x v="0"/>
    <x v="3"/>
    <s v="2026-09"/>
    <x v="0"/>
    <x v="0"/>
    <m/>
  </r>
  <r>
    <s v="2026-08-14"/>
    <s v="D11"/>
    <s v="S"/>
    <s v="P"/>
    <s v="T01"/>
    <s v="V"/>
    <x v="3"/>
    <x v="3"/>
    <x v="3"/>
    <s v="X"/>
    <x v="0"/>
    <d v="2026-08-14T00:00:00"/>
    <x v="3"/>
    <m/>
    <n v="1011"/>
    <n v="81"/>
    <x v="0"/>
    <x v="2"/>
    <s v="2026-09"/>
    <x v="0"/>
    <x v="0"/>
    <m/>
  </r>
  <r>
    <s v="2026-08-14"/>
    <s v="D12"/>
    <s v="S"/>
    <s v="P"/>
    <s v="A01"/>
    <s v="V"/>
    <x v="4"/>
    <x v="0"/>
    <x v="0"/>
    <s v="X"/>
    <x v="0"/>
    <d v="2026-08-14T00:00:00"/>
    <x v="4"/>
    <m/>
    <n v="1012"/>
    <n v="82"/>
    <x v="0"/>
    <x v="1"/>
    <s v="2026-09"/>
    <x v="1"/>
    <x v="0"/>
    <m/>
  </r>
  <r>
    <s v="2026-08-14"/>
    <s v="D13"/>
    <s v="S"/>
    <s v="P"/>
    <s v="T01"/>
    <s v="V"/>
    <x v="5"/>
    <x v="1"/>
    <x v="1"/>
    <s v="X"/>
    <x v="0"/>
    <d v="2026-08-14T00:00:00"/>
    <x v="5"/>
    <m/>
    <n v="1013"/>
    <n v="83"/>
    <x v="0"/>
    <x v="0"/>
    <s v="2026-09"/>
    <x v="0"/>
    <x v="0"/>
    <m/>
  </r>
  <r>
    <s v="2026-08-14"/>
    <s v="D14"/>
    <s v="S"/>
    <s v="P"/>
    <s v="T01"/>
    <s v="V"/>
    <x v="6"/>
    <x v="2"/>
    <x v="2"/>
    <s v="X"/>
    <x v="0"/>
    <d v="2026-08-14T00:00:00"/>
    <x v="6"/>
    <m/>
    <n v="1014"/>
    <n v="84"/>
    <x v="0"/>
    <x v="6"/>
    <s v="2026-09"/>
    <x v="0"/>
    <x v="0"/>
    <m/>
  </r>
  <r>
    <s v="2026-08-14"/>
    <s v="D15"/>
    <s v="S"/>
    <s v="P"/>
    <s v="A01"/>
    <s v="V"/>
    <x v="7"/>
    <x v="3"/>
    <x v="3"/>
    <s v="X"/>
    <x v="0"/>
    <d v="2026-08-14T00:00:00"/>
    <x v="7"/>
    <m/>
    <n v="1015"/>
    <n v="85"/>
    <x v="0"/>
    <x v="5"/>
    <s v="2026-09"/>
    <x v="1"/>
    <x v="0"/>
    <m/>
  </r>
  <r>
    <s v="2026-08-14"/>
    <s v="D16"/>
    <s v="S"/>
    <s v="P"/>
    <s v="T01"/>
    <s v="V"/>
    <x v="8"/>
    <x v="0"/>
    <x v="0"/>
    <s v="X"/>
    <x v="0"/>
    <d v="2026-08-14T00:00:00"/>
    <x v="8"/>
    <m/>
    <n v="1016"/>
    <n v="86"/>
    <x v="0"/>
    <x v="4"/>
    <s v="2026-09"/>
    <x v="0"/>
    <x v="0"/>
    <m/>
  </r>
  <r>
    <s v="2026-08-14"/>
    <s v="D17"/>
    <s v="S"/>
    <s v="P"/>
    <s v="T01"/>
    <s v="V"/>
    <x v="9"/>
    <x v="1"/>
    <x v="1"/>
    <s v="X"/>
    <x v="0"/>
    <d v="2026-08-14T00:00:00"/>
    <x v="9"/>
    <m/>
    <n v="1017"/>
    <n v="87"/>
    <x v="0"/>
    <x v="3"/>
    <s v="2026-09"/>
    <x v="0"/>
    <x v="0"/>
    <m/>
  </r>
  <r>
    <s v="2026-08-14"/>
    <s v="D18"/>
    <s v="S"/>
    <s v="P"/>
    <s v="A01"/>
    <s v="V"/>
    <x v="10"/>
    <x v="2"/>
    <x v="2"/>
    <s v="X"/>
    <x v="0"/>
    <d v="2026-08-14T00:00:00"/>
    <x v="10"/>
    <m/>
    <n v="1018"/>
    <n v="88"/>
    <x v="0"/>
    <x v="2"/>
    <s v="2026-09"/>
    <x v="1"/>
    <x v="0"/>
    <m/>
  </r>
  <r>
    <s v="2026-08-14"/>
    <s v="D19"/>
    <s v="S"/>
    <s v="P"/>
    <s v="T01"/>
    <s v="V"/>
    <x v="11"/>
    <x v="3"/>
    <x v="3"/>
    <s v="X"/>
    <x v="0"/>
    <d v="2026-08-14T00:00:00"/>
    <x v="11"/>
    <m/>
    <n v="1019"/>
    <n v="89"/>
    <x v="0"/>
    <x v="1"/>
    <s v="2026-09"/>
    <x v="0"/>
    <x v="0"/>
    <m/>
  </r>
  <r>
    <s v="2026-08-14"/>
    <s v="D20"/>
    <s v="S"/>
    <s v="P"/>
    <s v="T01"/>
    <s v="V"/>
    <x v="13"/>
    <x v="0"/>
    <x v="0"/>
    <s v="X"/>
    <x v="0"/>
    <d v="2026-08-14T00:00:00"/>
    <x v="13"/>
    <m/>
    <n v="1020"/>
    <n v="90"/>
    <x v="0"/>
    <x v="0"/>
    <s v="2026-09"/>
    <x v="0"/>
    <x v="0"/>
    <m/>
  </r>
  <r>
    <s v="2026-08-14"/>
    <s v="D21"/>
    <s v="S"/>
    <s v="P"/>
    <s v="A01"/>
    <s v="V"/>
    <x v="14"/>
    <x v="1"/>
    <x v="1"/>
    <s v="X"/>
    <x v="0"/>
    <d v="2026-08-14T00:00:00"/>
    <x v="14"/>
    <m/>
    <n v="1021"/>
    <n v="91"/>
    <x v="0"/>
    <x v="6"/>
    <s v="2026-09"/>
    <x v="1"/>
    <x v="0"/>
    <m/>
  </r>
  <r>
    <s v="2026-08-14"/>
    <s v="D22"/>
    <s v="S"/>
    <s v="P"/>
    <s v="T01"/>
    <s v="V"/>
    <x v="15"/>
    <x v="2"/>
    <x v="2"/>
    <s v="X"/>
    <x v="0"/>
    <d v="2026-08-14T00:00:00"/>
    <x v="15"/>
    <m/>
    <n v="1022"/>
    <n v="92"/>
    <x v="0"/>
    <x v="5"/>
    <s v="2026-09"/>
    <x v="0"/>
    <x v="0"/>
    <m/>
  </r>
  <r>
    <s v="2026-08-14"/>
    <s v="D23"/>
    <s v="S"/>
    <s v="P"/>
    <s v="T01"/>
    <s v="V"/>
    <x v="16"/>
    <x v="3"/>
    <x v="3"/>
    <s v="X"/>
    <x v="0"/>
    <d v="2026-08-14T00:00:00"/>
    <x v="16"/>
    <m/>
    <n v="1023"/>
    <n v="93"/>
    <x v="0"/>
    <x v="4"/>
    <s v="2026-09"/>
    <x v="0"/>
    <x v="0"/>
    <m/>
  </r>
  <r>
    <s v="2026-08-14"/>
    <s v="D24"/>
    <s v="S"/>
    <s v="P"/>
    <s v="A01"/>
    <s v="V"/>
    <x v="17"/>
    <x v="0"/>
    <x v="0"/>
    <s v="X"/>
    <x v="0"/>
    <d v="2026-08-14T00:00:00"/>
    <x v="17"/>
    <m/>
    <n v="1024"/>
    <n v="94"/>
    <x v="0"/>
    <x v="3"/>
    <s v="2026-09"/>
    <x v="1"/>
    <x v="0"/>
    <m/>
  </r>
  <r>
    <s v="2026-08-14"/>
    <s v="D25"/>
    <s v="S"/>
    <s v="P"/>
    <s v="T01"/>
    <s v="V"/>
    <x v="18"/>
    <x v="1"/>
    <x v="1"/>
    <s v="X"/>
    <x v="0"/>
    <d v="2026-08-14T00:00:00"/>
    <x v="18"/>
    <m/>
    <n v="1025"/>
    <n v="95"/>
    <x v="0"/>
    <x v="2"/>
    <s v="2026-09"/>
    <x v="0"/>
    <x v="0"/>
    <m/>
  </r>
  <r>
    <s v="2026-08-14"/>
    <s v="D26"/>
    <s v="S"/>
    <s v="P"/>
    <s v="T01"/>
    <s v="V"/>
    <x v="19"/>
    <x v="2"/>
    <x v="2"/>
    <s v="X"/>
    <x v="0"/>
    <d v="2026-08-14T00:00:00"/>
    <x v="19"/>
    <m/>
    <n v="1026"/>
    <n v="96"/>
    <x v="0"/>
    <x v="1"/>
    <s v="2026-09"/>
    <x v="0"/>
    <x v="0"/>
    <m/>
  </r>
  <r>
    <s v="2026-08-14"/>
    <s v="D27"/>
    <s v="S"/>
    <s v="P"/>
    <s v="A01"/>
    <s v="V"/>
    <x v="20"/>
    <x v="3"/>
    <x v="3"/>
    <s v="X"/>
    <x v="0"/>
    <d v="2026-08-14T00:00:00"/>
    <x v="20"/>
    <m/>
    <n v="1027"/>
    <n v="97"/>
    <x v="0"/>
    <x v="0"/>
    <s v="2026-09"/>
    <x v="1"/>
    <x v="0"/>
    <m/>
  </r>
  <r>
    <s v="2026-08-14"/>
    <s v="D28"/>
    <s v="S"/>
    <s v="P"/>
    <s v="T01"/>
    <s v="V"/>
    <x v="21"/>
    <x v="0"/>
    <x v="0"/>
    <s v="X"/>
    <x v="0"/>
    <d v="2026-08-14T00:00:00"/>
    <x v="21"/>
    <m/>
    <n v="1028"/>
    <n v="98"/>
    <x v="0"/>
    <x v="6"/>
    <s v="2026-09"/>
    <x v="0"/>
    <x v="0"/>
    <m/>
  </r>
  <r>
    <s v="2026-08-14"/>
    <s v="D29"/>
    <s v="S"/>
    <s v="P"/>
    <s v="T01"/>
    <s v="V"/>
    <x v="22"/>
    <x v="1"/>
    <x v="1"/>
    <s v="X"/>
    <x v="0"/>
    <d v="2026-08-14T00:00:00"/>
    <x v="22"/>
    <m/>
    <n v="1029"/>
    <n v="99"/>
    <x v="0"/>
    <x v="5"/>
    <s v="2026-09"/>
    <x v="0"/>
    <x v="0"/>
    <m/>
  </r>
</pivotCacheRecords>
</file>

<file path=xl/pivotTables/_rels/pivotTable1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ICP_Following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>
  <location ref="A10:I11" firstHeaderRow="0" firstDataRow="1" firstDataCol="7"/>
  <pivotFields count="22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</items>
    </pivotField>
    <pivotField axis="axisRow" compact="0" outline="0" showAll="0" defaultSubtotal="0">
      <items count="4">
        <item x="0"/>
        <item x="1"/>
        <item x="2"/>
        <item x="3"/>
      </items>
    </pivotField>
    <pivotField axis="axisRow" compact="0" outline="0" showAll="0" defaultSubtotal="0">
      <items count="4">
        <item x="0"/>
        <item x="1"/>
        <item x="2"/>
        <item x="3"/>
      </items>
    </pivotField>
    <pivotField compact="0" outline="0" showAll="0"/>
    <pivotField axis="axisRow" compact="0" numFmtId="15" outline="0" showAll="0" defaultSubtotal="0">
      <items count="1">
        <item x="0"/>
      </items>
    </pivotField>
    <pivotField compact="0" numFmtId="15" outline="0" showAll="0"/>
    <pivotField axis="axisRow" compact="0" outline="0" showAll="0" defaultSubtota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</items>
    </pivotField>
    <pivotField compact="0" outline="0" showAll="0"/>
    <pivotField dataField="1" compact="0" outline="0" showAll="0"/>
    <pivotField dataField="1" compact="0" outline="0" showAll="0"/>
    <pivotField axis="axisRow" compact="0" outline="0" showAll="0" defaultSubtotal="0">
      <items count="1">
        <item x="0"/>
      </items>
    </pivotField>
    <pivotField compact="0" outline="0" multipleItemSelectionAllowed="1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outline="0" showAll="0"/>
    <pivotField compact="0" outline="0" multipleItemSelectionAllowed="1" showAll="0">
      <items count="3">
        <item x="0"/>
        <item x="1"/>
        <item t="default"/>
      </items>
    </pivotField>
    <pivotField axis="axisRow" compact="0" outline="0" showAll="0">
      <items count="2">
        <item x="0"/>
        <item t="default"/>
      </items>
    </pivotField>
    <pivotField compact="0" outline="0" showAll="0"/>
  </pivotFields>
  <rowFields count="7">
    <field x="20"/>
    <field x="8"/>
    <field x="7"/>
    <field x="16"/>
    <field x="12"/>
    <field x="10"/>
    <field x="6"/>
  </rowFields>
  <colFields count="1">
    <field x="-2"/>
  </colFields>
  <dataFields count="2">
    <dataField name="Sum of มูลค่าสินค้า" fld="14" baseField="0" baseItem="0" numFmtId="43"/>
    <dataField name="Sum of เงินภาษี" fld="15" baseField="0" baseItem="0" numFmtId="43"/>
  </dataFields>
  <pivotTableStyleInfo name="PivotStyleMedium6" showRowHeaders="1" showColHeaders="1" showRowStripes="0" showColStripes="0" showLastColumn="1"/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Aging" sourceName="Aging">
  <pivotTables>
    <pivotTable tabId="1" name="ICP_Following"/>
  </pivotTables>
  <data>
    <tabular pivotCacheId="1" sortOrder="descending">
      <items count="7">
        <i x="0" s="1"/>
        <i x="1" s="1"/>
        <i x="2" s="1"/>
        <i x="3" s="1"/>
        <i x="4" s="1"/>
        <i x="5" s="1"/>
        <i x="6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Tax_Group" sourceName="Tax Group">
  <pivotTables>
    <pivotTable tabId="1" name="ICP_Following"/>
  </pivotTables>
  <data>
    <tabular pivotCacheId="1">
      <items count="2">
        <i x="0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Aging" cache="Slicer_Aging" caption="Aging" columnCount="4" rowHeight="257175"/>
  <slicer name="Tax Group" cache="Slicer_Tax_Group" caption="Tax Group" columnCount="2" rowHeight="257175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Pivot1" Type="http://schemas.openxmlformats.org/officeDocument/2006/relationships/pivotTable" Target="../pivotTables/pivotTable1.xml"/><Relationship Id="rIdDrawing1" Type="http://schemas.openxmlformats.org/officeDocument/2006/relationships/drawing" Target="../drawings/drawing1.xml"/><Relationship Id="rIdSlicer1" Type="http://schemas.microsoft.com/office/2007/relationships/slicer" Target="../slicers/slicer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 showGridLines="0" zoomScale="90">
      <pane ySplit="10" topLeftCell="A11" activePane="bottomLeft" state="frozen"/>
      <selection pane="bottomLeft"/>
    </sheetView>
  </sheetViews>
  <sheetFormatPr defaultRowHeight="15" outlineLevelRow="0" outlineLevelCol="0" x14ac:dyDescent="55"/>
  <cols>
    <col min="1" max="1" width="20.6" customWidth="1"/>
    <col min="2" max="2" width="90.6" customWidth="1"/>
    <col min="3" max="3" width="20.6" customWidth="1"/>
    <col min="4" max="4" width="10.6" customWidth="1"/>
    <col min="5" max="5" width="23.6" customWidth="1"/>
    <col min="6" max="6" width="12.6" customWidth="1"/>
    <col min="7" max="7" width="31" customWidth="1"/>
    <col min="8" max="8" width="16" customWidth="1"/>
    <col min="9" max="9" width="14.25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3" spans="1:1" s="3" customFormat="1" x14ac:dyDescent="0.25">
      <c r="A3" s="3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Drawing1"/>
  <extLst>
    <ext xmlns:x14="http://schemas.microsoft.com/office/spreadsheetml/2009/9/main" uri="{A8765BA9-456A-4dab-B4F3-ACF838C121DE}">
      <x14:slicerList>
        <x14:slicer r:id="rIdSlicer1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8" customWidth="1"/>
    <col min="4" max="4" width="11" customWidth="1"/>
    <col min="5" max="5" width="8" customWidth="1"/>
    <col min="6" max="7" width="12" customWidth="1"/>
    <col min="8" max="8" width="15" customWidth="1"/>
    <col min="9" max="9" width="12" customWidth="1"/>
    <col min="10" max="10" width="10" customWidth="1"/>
    <col min="11" max="12" width="11" style="4" customWidth="1"/>
    <col min="13" max="13" width="12" customWidth="1"/>
    <col min="14" max="14" width="14" customWidth="1"/>
    <col min="15" max="15" width="14" style="5" customWidth="1"/>
    <col min="16" max="16" width="10" style="5" customWidth="1"/>
    <col min="17" max="17" width="8" customWidth="1"/>
    <col min="18" max="18" width="15" customWidth="1"/>
    <col min="20" max="20" width="11" customWidth="1"/>
    <col min="21" max="21" width="17" customWidth="1"/>
    <col min="22" max="22" width="15" customWidth="1"/>
  </cols>
  <sheetData>
    <row r="1" spans="1:22" x14ac:dyDescent="0.25">
      <c r="A1" s="6" t="s">
        <v>3</v>
      </c>
      <c r="B1" s="6" t="s">
        <v>4</v>
      </c>
      <c r="C1" s="6" t="s">
        <v>5</v>
      </c>
      <c r="D1" s="6" t="s">
        <v>6</v>
      </c>
      <c r="E1" s="6" t="s">
        <v>7</v>
      </c>
      <c r="F1" s="6" t="s">
        <v>8</v>
      </c>
      <c r="G1" s="6" t="s">
        <v>9</v>
      </c>
      <c r="H1" s="6" t="s">
        <v>10</v>
      </c>
      <c r="I1" s="6" t="s">
        <v>11</v>
      </c>
      <c r="J1" s="6" t="s">
        <v>12</v>
      </c>
      <c r="K1" s="7" t="s">
        <v>13</v>
      </c>
      <c r="L1" s="7" t="s">
        <v>14</v>
      </c>
      <c r="M1" s="6" t="s">
        <v>15</v>
      </c>
      <c r="N1" s="6" t="s">
        <v>16</v>
      </c>
      <c r="O1" s="8" t="s">
        <v>17</v>
      </c>
      <c r="P1" s="8" t="s">
        <v>18</v>
      </c>
      <c r="Q1" s="6" t="s">
        <v>19</v>
      </c>
      <c r="R1" s="6" t="s">
        <v>20</v>
      </c>
      <c r="S1" s="6" t="s">
        <v>21</v>
      </c>
      <c r="T1" s="6" t="s">
        <v>22</v>
      </c>
      <c r="U1" s="6" t="s">
        <v>23</v>
      </c>
      <c r="V1" s="6" t="s">
        <v>24</v>
      </c>
    </row>
    <row r="2" spans="1:22" x14ac:dyDescent="0.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s="4">
        <v>46248</v>
      </c>
      <c r="L2" s="4">
        <v>46248</v>
      </c>
      <c r="M2" t="s">
        <v>35</v>
      </c>
      <c r="O2" s="5">
        <v>1000</v>
      </c>
      <c r="P2" s="5">
        <v>70</v>
      </c>
      <c r="Q2" t="s">
        <v>36</v>
      </c>
      <c r="R2" t="s">
        <v>37</v>
      </c>
      <c r="S2" t="s">
        <v>38</v>
      </c>
      <c r="T2" t="s">
        <v>39</v>
      </c>
      <c r="U2" t="s">
        <v>40</v>
      </c>
    </row>
    <row r="3" spans="1:22" x14ac:dyDescent="0.25">
      <c r="A3" t="s">
        <v>25</v>
      </c>
      <c r="B3" t="s">
        <v>41</v>
      </c>
      <c r="C3" t="s">
        <v>27</v>
      </c>
      <c r="D3" t="s">
        <v>28</v>
      </c>
      <c r="E3" t="s">
        <v>42</v>
      </c>
      <c r="F3" t="s">
        <v>30</v>
      </c>
      <c r="G3" t="s">
        <v>43</v>
      </c>
      <c r="H3" t="s">
        <v>44</v>
      </c>
      <c r="I3" t="s">
        <v>45</v>
      </c>
      <c r="J3" t="s">
        <v>34</v>
      </c>
      <c r="K3" s="4">
        <v>46248</v>
      </c>
      <c r="L3" s="4">
        <v>46248</v>
      </c>
      <c r="M3" t="s">
        <v>46</v>
      </c>
      <c r="O3" s="5">
        <v>1001</v>
      </c>
      <c r="P3" s="5">
        <v>71</v>
      </c>
      <c r="Q3" t="s">
        <v>36</v>
      </c>
      <c r="R3" t="s">
        <v>47</v>
      </c>
      <c r="S3" t="s">
        <v>38</v>
      </c>
      <c r="T3" t="s">
        <v>48</v>
      </c>
      <c r="U3" t="s">
        <v>40</v>
      </c>
    </row>
    <row r="4" spans="1:22" x14ac:dyDescent="0.25">
      <c r="A4" t="s">
        <v>25</v>
      </c>
      <c r="B4" t="s">
        <v>49</v>
      </c>
      <c r="C4" t="s">
        <v>27</v>
      </c>
      <c r="D4" t="s">
        <v>28</v>
      </c>
      <c r="E4" t="s">
        <v>42</v>
      </c>
      <c r="F4" t="s">
        <v>30</v>
      </c>
      <c r="G4" t="s">
        <v>50</v>
      </c>
      <c r="H4" t="s">
        <v>51</v>
      </c>
      <c r="I4" t="s">
        <v>52</v>
      </c>
      <c r="J4" t="s">
        <v>34</v>
      </c>
      <c r="K4" s="4">
        <v>46248</v>
      </c>
      <c r="L4" s="4">
        <v>46248</v>
      </c>
      <c r="M4" t="s">
        <v>53</v>
      </c>
      <c r="O4" s="5">
        <v>1002</v>
      </c>
      <c r="P4" s="5">
        <v>72</v>
      </c>
      <c r="Q4" t="s">
        <v>36</v>
      </c>
      <c r="R4" t="s">
        <v>54</v>
      </c>
      <c r="S4" t="s">
        <v>38</v>
      </c>
      <c r="T4" t="s">
        <v>48</v>
      </c>
      <c r="U4" t="s">
        <v>40</v>
      </c>
    </row>
    <row r="5" spans="1:22" x14ac:dyDescent="0.25">
      <c r="A5" t="s">
        <v>25</v>
      </c>
      <c r="B5" t="s">
        <v>55</v>
      </c>
      <c r="C5" t="s">
        <v>27</v>
      </c>
      <c r="D5" t="s">
        <v>28</v>
      </c>
      <c r="E5" t="s">
        <v>29</v>
      </c>
      <c r="F5" t="s">
        <v>30</v>
      </c>
      <c r="G5" t="s">
        <v>56</v>
      </c>
      <c r="H5" t="s">
        <v>57</v>
      </c>
      <c r="I5" t="s">
        <v>58</v>
      </c>
      <c r="J5" t="s">
        <v>34</v>
      </c>
      <c r="K5" s="4">
        <v>46248</v>
      </c>
      <c r="L5" s="4">
        <v>46248</v>
      </c>
      <c r="M5" t="s">
        <v>59</v>
      </c>
      <c r="O5" s="5">
        <v>1003</v>
      </c>
      <c r="P5" s="5">
        <v>73</v>
      </c>
      <c r="Q5" t="s">
        <v>36</v>
      </c>
      <c r="R5" t="s">
        <v>60</v>
      </c>
      <c r="S5" t="s">
        <v>38</v>
      </c>
      <c r="T5" t="s">
        <v>39</v>
      </c>
      <c r="U5" t="s">
        <v>40</v>
      </c>
    </row>
    <row r="6" spans="1:22" x14ac:dyDescent="0.25">
      <c r="A6" t="s">
        <v>25</v>
      </c>
      <c r="B6" t="s">
        <v>61</v>
      </c>
      <c r="C6" t="s">
        <v>27</v>
      </c>
      <c r="D6" t="s">
        <v>28</v>
      </c>
      <c r="E6" t="s">
        <v>42</v>
      </c>
      <c r="F6" t="s">
        <v>30</v>
      </c>
      <c r="G6" t="s">
        <v>62</v>
      </c>
      <c r="H6" t="s">
        <v>32</v>
      </c>
      <c r="I6" t="s">
        <v>33</v>
      </c>
      <c r="J6" t="s">
        <v>34</v>
      </c>
      <c r="K6" s="4">
        <v>46248</v>
      </c>
      <c r="L6" s="4">
        <v>46248</v>
      </c>
      <c r="M6" t="s">
        <v>63</v>
      </c>
      <c r="O6" s="5">
        <v>1004</v>
      </c>
      <c r="P6" s="5">
        <v>74</v>
      </c>
      <c r="Q6" t="s">
        <v>36</v>
      </c>
      <c r="R6" t="s">
        <v>64</v>
      </c>
      <c r="S6" t="s">
        <v>38</v>
      </c>
      <c r="T6" t="s">
        <v>48</v>
      </c>
      <c r="U6" t="s">
        <v>40</v>
      </c>
    </row>
    <row r="7" spans="1:22" x14ac:dyDescent="0.25">
      <c r="A7" t="s">
        <v>25</v>
      </c>
      <c r="B7" t="s">
        <v>65</v>
      </c>
      <c r="C7" t="s">
        <v>27</v>
      </c>
      <c r="D7" t="s">
        <v>28</v>
      </c>
      <c r="E7" t="s">
        <v>42</v>
      </c>
      <c r="F7" t="s">
        <v>30</v>
      </c>
      <c r="G7" t="s">
        <v>66</v>
      </c>
      <c r="H7" t="s">
        <v>44</v>
      </c>
      <c r="I7" t="s">
        <v>45</v>
      </c>
      <c r="J7" t="s">
        <v>34</v>
      </c>
      <c r="K7" s="4">
        <v>46248</v>
      </c>
      <c r="L7" s="4">
        <v>46248</v>
      </c>
      <c r="M7" t="s">
        <v>67</v>
      </c>
      <c r="O7" s="5">
        <v>1005</v>
      </c>
      <c r="P7" s="5">
        <v>75</v>
      </c>
      <c r="Q7" t="s">
        <v>36</v>
      </c>
      <c r="R7" t="s">
        <v>68</v>
      </c>
      <c r="S7" t="s">
        <v>38</v>
      </c>
      <c r="T7" t="s">
        <v>48</v>
      </c>
      <c r="U7" t="s">
        <v>40</v>
      </c>
    </row>
    <row r="8" spans="1:22" x14ac:dyDescent="0.25">
      <c r="A8" t="s">
        <v>25</v>
      </c>
      <c r="B8" t="s">
        <v>69</v>
      </c>
      <c r="C8" t="s">
        <v>27</v>
      </c>
      <c r="D8" t="s">
        <v>28</v>
      </c>
      <c r="E8" t="s">
        <v>29</v>
      </c>
      <c r="F8" t="s">
        <v>30</v>
      </c>
      <c r="G8" t="s">
        <v>70</v>
      </c>
      <c r="H8" t="s">
        <v>51</v>
      </c>
      <c r="I8" t="s">
        <v>52</v>
      </c>
      <c r="J8" t="s">
        <v>34</v>
      </c>
      <c r="K8" s="4">
        <v>46248</v>
      </c>
      <c r="L8" s="4">
        <v>46248</v>
      </c>
      <c r="M8" t="s">
        <v>71</v>
      </c>
      <c r="O8" s="5">
        <v>1006</v>
      </c>
      <c r="P8" s="5">
        <v>76</v>
      </c>
      <c r="Q8" t="s">
        <v>36</v>
      </c>
      <c r="R8" t="s">
        <v>72</v>
      </c>
      <c r="S8" t="s">
        <v>38</v>
      </c>
      <c r="T8" t="s">
        <v>39</v>
      </c>
      <c r="U8" t="s">
        <v>40</v>
      </c>
    </row>
    <row r="9" spans="1:22" x14ac:dyDescent="0.25">
      <c r="A9" t="s">
        <v>25</v>
      </c>
      <c r="B9" t="s">
        <v>73</v>
      </c>
      <c r="C9" t="s">
        <v>27</v>
      </c>
      <c r="D9" t="s">
        <v>28</v>
      </c>
      <c r="E9" t="s">
        <v>42</v>
      </c>
      <c r="F9" t="s">
        <v>30</v>
      </c>
      <c r="G9" t="s">
        <v>74</v>
      </c>
      <c r="H9" t="s">
        <v>57</v>
      </c>
      <c r="I9" t="s">
        <v>58</v>
      </c>
      <c r="J9" t="s">
        <v>34</v>
      </c>
      <c r="K9" s="4">
        <v>46248</v>
      </c>
      <c r="L9" s="4">
        <v>46248</v>
      </c>
      <c r="M9" t="s">
        <v>75</v>
      </c>
      <c r="O9" s="5">
        <v>1007</v>
      </c>
      <c r="P9" s="5">
        <v>77</v>
      </c>
      <c r="Q9" t="s">
        <v>36</v>
      </c>
      <c r="R9" t="s">
        <v>37</v>
      </c>
      <c r="S9" t="s">
        <v>38</v>
      </c>
      <c r="T9" t="s">
        <v>48</v>
      </c>
      <c r="U9" t="s">
        <v>40</v>
      </c>
    </row>
    <row r="10" spans="1:22" x14ac:dyDescent="0.25">
      <c r="A10" t="s">
        <v>25</v>
      </c>
      <c r="B10" t="s">
        <v>76</v>
      </c>
      <c r="C10" t="s">
        <v>27</v>
      </c>
      <c r="D10" t="s">
        <v>28</v>
      </c>
      <c r="E10" t="s">
        <v>42</v>
      </c>
      <c r="F10" t="s">
        <v>30</v>
      </c>
      <c r="G10" t="s">
        <v>77</v>
      </c>
      <c r="H10" t="s">
        <v>32</v>
      </c>
      <c r="I10" t="s">
        <v>33</v>
      </c>
      <c r="J10" t="s">
        <v>34</v>
      </c>
      <c r="K10" s="4">
        <v>46248</v>
      </c>
      <c r="L10" s="4">
        <v>46248</v>
      </c>
      <c r="M10" t="s">
        <v>78</v>
      </c>
      <c r="O10" s="5">
        <v>1008</v>
      </c>
      <c r="P10" s="5">
        <v>78</v>
      </c>
      <c r="Q10" t="s">
        <v>36</v>
      </c>
      <c r="R10" t="s">
        <v>47</v>
      </c>
      <c r="S10" t="s">
        <v>38</v>
      </c>
      <c r="T10" t="s">
        <v>48</v>
      </c>
      <c r="U10" t="s">
        <v>40</v>
      </c>
    </row>
    <row r="11" spans="1:22" x14ac:dyDescent="0.25">
      <c r="A11" t="s">
        <v>25</v>
      </c>
      <c r="B11" t="s">
        <v>79</v>
      </c>
      <c r="C11" t="s">
        <v>27</v>
      </c>
      <c r="D11" t="s">
        <v>28</v>
      </c>
      <c r="E11" t="s">
        <v>29</v>
      </c>
      <c r="F11" t="s">
        <v>30</v>
      </c>
      <c r="G11" t="s">
        <v>80</v>
      </c>
      <c r="H11" t="s">
        <v>44</v>
      </c>
      <c r="I11" t="s">
        <v>45</v>
      </c>
      <c r="J11" t="s">
        <v>34</v>
      </c>
      <c r="K11" s="4">
        <v>46248</v>
      </c>
      <c r="L11" s="4">
        <v>46248</v>
      </c>
      <c r="M11" t="s">
        <v>81</v>
      </c>
      <c r="O11" s="5">
        <v>1009</v>
      </c>
      <c r="P11" s="5">
        <v>79</v>
      </c>
      <c r="Q11" t="s">
        <v>36</v>
      </c>
      <c r="R11" t="s">
        <v>54</v>
      </c>
      <c r="S11" t="s">
        <v>38</v>
      </c>
      <c r="T11" t="s">
        <v>39</v>
      </c>
      <c r="U11" t="s">
        <v>40</v>
      </c>
    </row>
    <row r="12" spans="1:22" x14ac:dyDescent="0.25">
      <c r="A12" t="s">
        <v>25</v>
      </c>
      <c r="B12" t="s">
        <v>82</v>
      </c>
      <c r="C12" t="s">
        <v>27</v>
      </c>
      <c r="D12" t="s">
        <v>28</v>
      </c>
      <c r="E12" t="s">
        <v>42</v>
      </c>
      <c r="F12" t="s">
        <v>30</v>
      </c>
      <c r="G12" t="s">
        <v>83</v>
      </c>
      <c r="H12" t="s">
        <v>51</v>
      </c>
      <c r="I12" t="s">
        <v>52</v>
      </c>
      <c r="J12" t="s">
        <v>34</v>
      </c>
      <c r="K12" s="4">
        <v>46248</v>
      </c>
      <c r="L12" s="4">
        <v>46248</v>
      </c>
      <c r="M12" t="s">
        <v>84</v>
      </c>
      <c r="O12" s="5">
        <v>1010</v>
      </c>
      <c r="P12" s="5">
        <v>80</v>
      </c>
      <c r="Q12" t="s">
        <v>36</v>
      </c>
      <c r="R12" t="s">
        <v>60</v>
      </c>
      <c r="S12" t="s">
        <v>38</v>
      </c>
      <c r="T12" t="s">
        <v>48</v>
      </c>
      <c r="U12" t="s">
        <v>40</v>
      </c>
    </row>
    <row r="13" spans="1:22" x14ac:dyDescent="0.25">
      <c r="A13" t="s">
        <v>25</v>
      </c>
      <c r="B13" t="s">
        <v>85</v>
      </c>
      <c r="C13" t="s">
        <v>27</v>
      </c>
      <c r="D13" t="s">
        <v>28</v>
      </c>
      <c r="E13" t="s">
        <v>42</v>
      </c>
      <c r="F13" t="s">
        <v>30</v>
      </c>
      <c r="G13" t="s">
        <v>86</v>
      </c>
      <c r="H13" t="s">
        <v>57</v>
      </c>
      <c r="I13" t="s">
        <v>58</v>
      </c>
      <c r="J13" t="s">
        <v>34</v>
      </c>
      <c r="K13" s="4">
        <v>46248</v>
      </c>
      <c r="L13" s="4">
        <v>46248</v>
      </c>
      <c r="M13" t="s">
        <v>87</v>
      </c>
      <c r="O13" s="5">
        <v>1011</v>
      </c>
      <c r="P13" s="5">
        <v>81</v>
      </c>
      <c r="Q13" t="s">
        <v>36</v>
      </c>
      <c r="R13" t="s">
        <v>64</v>
      </c>
      <c r="S13" t="s">
        <v>38</v>
      </c>
      <c r="T13" t="s">
        <v>48</v>
      </c>
      <c r="U13" t="s">
        <v>40</v>
      </c>
    </row>
    <row r="14" spans="1:22" x14ac:dyDescent="0.25">
      <c r="A14" t="s">
        <v>25</v>
      </c>
      <c r="B14" t="s">
        <v>88</v>
      </c>
      <c r="C14" t="s">
        <v>27</v>
      </c>
      <c r="D14" t="s">
        <v>28</v>
      </c>
      <c r="E14" t="s">
        <v>29</v>
      </c>
      <c r="F14" t="s">
        <v>30</v>
      </c>
      <c r="G14" t="s">
        <v>89</v>
      </c>
      <c r="H14" t="s">
        <v>32</v>
      </c>
      <c r="I14" t="s">
        <v>33</v>
      </c>
      <c r="J14" t="s">
        <v>34</v>
      </c>
      <c r="K14" s="4">
        <v>46248</v>
      </c>
      <c r="L14" s="4">
        <v>46248</v>
      </c>
      <c r="M14" t="s">
        <v>90</v>
      </c>
      <c r="O14" s="5">
        <v>1012</v>
      </c>
      <c r="P14" s="5">
        <v>82</v>
      </c>
      <c r="Q14" t="s">
        <v>36</v>
      </c>
      <c r="R14" t="s">
        <v>68</v>
      </c>
      <c r="S14" t="s">
        <v>38</v>
      </c>
      <c r="T14" t="s">
        <v>39</v>
      </c>
      <c r="U14" t="s">
        <v>40</v>
      </c>
    </row>
    <row r="15" spans="1:22" x14ac:dyDescent="0.25">
      <c r="A15" t="s">
        <v>25</v>
      </c>
      <c r="B15" t="s">
        <v>91</v>
      </c>
      <c r="C15" t="s">
        <v>27</v>
      </c>
      <c r="D15" t="s">
        <v>28</v>
      </c>
      <c r="E15" t="s">
        <v>42</v>
      </c>
      <c r="F15" t="s">
        <v>30</v>
      </c>
      <c r="G15" t="s">
        <v>92</v>
      </c>
      <c r="H15" t="s">
        <v>44</v>
      </c>
      <c r="I15" t="s">
        <v>45</v>
      </c>
      <c r="J15" t="s">
        <v>34</v>
      </c>
      <c r="K15" s="4">
        <v>46248</v>
      </c>
      <c r="L15" s="4">
        <v>46248</v>
      </c>
      <c r="M15" t="s">
        <v>93</v>
      </c>
      <c r="O15" s="5">
        <v>1013</v>
      </c>
      <c r="P15" s="5">
        <v>83</v>
      </c>
      <c r="Q15" t="s">
        <v>36</v>
      </c>
      <c r="R15" t="s">
        <v>72</v>
      </c>
      <c r="S15" t="s">
        <v>38</v>
      </c>
      <c r="T15" t="s">
        <v>48</v>
      </c>
      <c r="U15" t="s">
        <v>40</v>
      </c>
    </row>
    <row r="16" spans="1:22" x14ac:dyDescent="0.25">
      <c r="A16" t="s">
        <v>25</v>
      </c>
      <c r="B16" t="s">
        <v>94</v>
      </c>
      <c r="C16" t="s">
        <v>27</v>
      </c>
      <c r="D16" t="s">
        <v>28</v>
      </c>
      <c r="E16" t="s">
        <v>42</v>
      </c>
      <c r="F16" t="s">
        <v>30</v>
      </c>
      <c r="G16" t="s">
        <v>95</v>
      </c>
      <c r="H16" t="s">
        <v>51</v>
      </c>
      <c r="I16" t="s">
        <v>52</v>
      </c>
      <c r="J16" t="s">
        <v>34</v>
      </c>
      <c r="K16" s="4">
        <v>46248</v>
      </c>
      <c r="L16" s="4">
        <v>46248</v>
      </c>
      <c r="M16" t="s">
        <v>96</v>
      </c>
      <c r="O16" s="5">
        <v>1014</v>
      </c>
      <c r="P16" s="5">
        <v>84</v>
      </c>
      <c r="Q16" t="s">
        <v>36</v>
      </c>
      <c r="R16" t="s">
        <v>37</v>
      </c>
      <c r="S16" t="s">
        <v>38</v>
      </c>
      <c r="T16" t="s">
        <v>48</v>
      </c>
      <c r="U16" t="s">
        <v>40</v>
      </c>
    </row>
    <row r="17" spans="1:22" x14ac:dyDescent="0.25">
      <c r="A17" t="s">
        <v>25</v>
      </c>
      <c r="B17" t="s">
        <v>97</v>
      </c>
      <c r="C17" t="s">
        <v>27</v>
      </c>
      <c r="D17" t="s">
        <v>28</v>
      </c>
      <c r="E17" t="s">
        <v>29</v>
      </c>
      <c r="F17" t="s">
        <v>30</v>
      </c>
      <c r="G17" t="s">
        <v>98</v>
      </c>
      <c r="H17" t="s">
        <v>57</v>
      </c>
      <c r="I17" t="s">
        <v>58</v>
      </c>
      <c r="J17" t="s">
        <v>34</v>
      </c>
      <c r="K17" s="4">
        <v>46248</v>
      </c>
      <c r="L17" s="4">
        <v>46248</v>
      </c>
      <c r="M17" t="s">
        <v>99</v>
      </c>
      <c r="O17" s="5">
        <v>1015</v>
      </c>
      <c r="P17" s="5">
        <v>85</v>
      </c>
      <c r="Q17" t="s">
        <v>36</v>
      </c>
      <c r="R17" t="s">
        <v>47</v>
      </c>
      <c r="S17" t="s">
        <v>38</v>
      </c>
      <c r="T17" t="s">
        <v>39</v>
      </c>
      <c r="U17" t="s">
        <v>40</v>
      </c>
    </row>
    <row r="18" spans="1:22" x14ac:dyDescent="0.25">
      <c r="A18" t="s">
        <v>25</v>
      </c>
      <c r="B18" t="s">
        <v>100</v>
      </c>
      <c r="C18" t="s">
        <v>27</v>
      </c>
      <c r="D18" t="s">
        <v>28</v>
      </c>
      <c r="E18" t="s">
        <v>42</v>
      </c>
      <c r="F18" t="s">
        <v>30</v>
      </c>
      <c r="G18" t="s">
        <v>101</v>
      </c>
      <c r="H18" t="s">
        <v>32</v>
      </c>
      <c r="I18" t="s">
        <v>33</v>
      </c>
      <c r="J18" t="s">
        <v>34</v>
      </c>
      <c r="K18" s="4">
        <v>46248</v>
      </c>
      <c r="L18" s="4">
        <v>46248</v>
      </c>
      <c r="M18" t="s">
        <v>102</v>
      </c>
      <c r="O18" s="5">
        <v>1016</v>
      </c>
      <c r="P18" s="5">
        <v>86</v>
      </c>
      <c r="Q18" t="s">
        <v>36</v>
      </c>
      <c r="R18" t="s">
        <v>54</v>
      </c>
      <c r="S18" t="s">
        <v>38</v>
      </c>
      <c r="T18" t="s">
        <v>48</v>
      </c>
      <c r="U18" t="s">
        <v>40</v>
      </c>
    </row>
    <row r="19" spans="1:22" x14ac:dyDescent="0.25">
      <c r="A19" t="s">
        <v>25</v>
      </c>
      <c r="B19" t="s">
        <v>103</v>
      </c>
      <c r="C19" t="s">
        <v>27</v>
      </c>
      <c r="D19" t="s">
        <v>28</v>
      </c>
      <c r="E19" t="s">
        <v>42</v>
      </c>
      <c r="F19" t="s">
        <v>30</v>
      </c>
      <c r="G19" t="s">
        <v>104</v>
      </c>
      <c r="H19" t="s">
        <v>44</v>
      </c>
      <c r="I19" t="s">
        <v>45</v>
      </c>
      <c r="J19" t="s">
        <v>34</v>
      </c>
      <c r="K19" s="4">
        <v>46248</v>
      </c>
      <c r="L19" s="4">
        <v>46248</v>
      </c>
      <c r="M19" t="s">
        <v>105</v>
      </c>
      <c r="O19" s="5">
        <v>1017</v>
      </c>
      <c r="P19" s="5">
        <v>87</v>
      </c>
      <c r="Q19" t="s">
        <v>36</v>
      </c>
      <c r="R19" t="s">
        <v>60</v>
      </c>
      <c r="S19" t="s">
        <v>38</v>
      </c>
      <c r="T19" t="s">
        <v>48</v>
      </c>
      <c r="U19" t="s">
        <v>40</v>
      </c>
    </row>
    <row r="20" spans="1:22" x14ac:dyDescent="0.25">
      <c r="A20" t="s">
        <v>25</v>
      </c>
      <c r="B20" t="s">
        <v>106</v>
      </c>
      <c r="C20" t="s">
        <v>27</v>
      </c>
      <c r="D20" t="s">
        <v>28</v>
      </c>
      <c r="E20" t="s">
        <v>29</v>
      </c>
      <c r="F20" t="s">
        <v>30</v>
      </c>
      <c r="G20" t="s">
        <v>107</v>
      </c>
      <c r="H20" t="s">
        <v>51</v>
      </c>
      <c r="I20" t="s">
        <v>52</v>
      </c>
      <c r="J20" t="s">
        <v>34</v>
      </c>
      <c r="K20" s="4">
        <v>46248</v>
      </c>
      <c r="L20" s="4">
        <v>46248</v>
      </c>
      <c r="M20" t="s">
        <v>108</v>
      </c>
      <c r="O20" s="5">
        <v>1018</v>
      </c>
      <c r="P20" s="5">
        <v>88</v>
      </c>
      <c r="Q20" t="s">
        <v>36</v>
      </c>
      <c r="R20" t="s">
        <v>64</v>
      </c>
      <c r="S20" t="s">
        <v>38</v>
      </c>
      <c r="T20" t="s">
        <v>39</v>
      </c>
      <c r="U20" t="s">
        <v>40</v>
      </c>
    </row>
    <row r="21" spans="1:22" x14ac:dyDescent="0.25">
      <c r="A21" t="s">
        <v>25</v>
      </c>
      <c r="B21" t="s">
        <v>109</v>
      </c>
      <c r="C21" t="s">
        <v>27</v>
      </c>
      <c r="D21" t="s">
        <v>28</v>
      </c>
      <c r="E21" t="s">
        <v>42</v>
      </c>
      <c r="F21" t="s">
        <v>30</v>
      </c>
      <c r="G21" t="s">
        <v>110</v>
      </c>
      <c r="H21" t="s">
        <v>57</v>
      </c>
      <c r="I21" t="s">
        <v>58</v>
      </c>
      <c r="J21" t="s">
        <v>34</v>
      </c>
      <c r="K21" s="4">
        <v>46248</v>
      </c>
      <c r="L21" s="4">
        <v>46248</v>
      </c>
      <c r="M21" t="s">
        <v>111</v>
      </c>
      <c r="O21" s="5">
        <v>1019</v>
      </c>
      <c r="P21" s="5">
        <v>89</v>
      </c>
      <c r="Q21" t="s">
        <v>36</v>
      </c>
      <c r="R21" t="s">
        <v>68</v>
      </c>
      <c r="S21" t="s">
        <v>38</v>
      </c>
      <c r="T21" t="s">
        <v>48</v>
      </c>
      <c r="U21" t="s">
        <v>40</v>
      </c>
    </row>
    <row r="22" spans="1:22" x14ac:dyDescent="0.25">
      <c r="A22" t="s">
        <v>25</v>
      </c>
      <c r="B22" t="s">
        <v>112</v>
      </c>
      <c r="C22" t="s">
        <v>27</v>
      </c>
      <c r="D22" t="s">
        <v>28</v>
      </c>
      <c r="E22" t="s">
        <v>42</v>
      </c>
      <c r="F22" t="s">
        <v>30</v>
      </c>
      <c r="G22" t="s">
        <v>113</v>
      </c>
      <c r="H22" t="s">
        <v>32</v>
      </c>
      <c r="I22" t="s">
        <v>33</v>
      </c>
      <c r="J22" t="s">
        <v>34</v>
      </c>
      <c r="K22" s="4">
        <v>46248</v>
      </c>
      <c r="L22" s="4">
        <v>46248</v>
      </c>
      <c r="M22" t="s">
        <v>114</v>
      </c>
      <c r="O22" s="5">
        <v>1020</v>
      </c>
      <c r="P22" s="5">
        <v>90</v>
      </c>
      <c r="Q22" t="s">
        <v>36</v>
      </c>
      <c r="R22" t="s">
        <v>72</v>
      </c>
      <c r="S22" t="s">
        <v>38</v>
      </c>
      <c r="T22" t="s">
        <v>48</v>
      </c>
      <c r="U22" t="s">
        <v>40</v>
      </c>
    </row>
    <row r="23" spans="1:22" x14ac:dyDescent="0.25">
      <c r="A23" t="s">
        <v>25</v>
      </c>
      <c r="B23" t="s">
        <v>115</v>
      </c>
      <c r="C23" t="s">
        <v>27</v>
      </c>
      <c r="D23" t="s">
        <v>28</v>
      </c>
      <c r="E23" t="s">
        <v>29</v>
      </c>
      <c r="F23" t="s">
        <v>30</v>
      </c>
      <c r="G23" t="s">
        <v>116</v>
      </c>
      <c r="H23" t="s">
        <v>44</v>
      </c>
      <c r="I23" t="s">
        <v>45</v>
      </c>
      <c r="J23" t="s">
        <v>34</v>
      </c>
      <c r="K23" s="4">
        <v>46248</v>
      </c>
      <c r="L23" s="4">
        <v>46248</v>
      </c>
      <c r="M23" t="s">
        <v>117</v>
      </c>
      <c r="O23" s="5">
        <v>1021</v>
      </c>
      <c r="P23" s="5">
        <v>91</v>
      </c>
      <c r="Q23" t="s">
        <v>36</v>
      </c>
      <c r="R23" t="s">
        <v>37</v>
      </c>
      <c r="S23" t="s">
        <v>38</v>
      </c>
      <c r="T23" t="s">
        <v>39</v>
      </c>
      <c r="U23" t="s">
        <v>40</v>
      </c>
    </row>
    <row r="24" spans="1:22" x14ac:dyDescent="0.25">
      <c r="A24" t="s">
        <v>25</v>
      </c>
      <c r="B24" t="s">
        <v>118</v>
      </c>
      <c r="C24" t="s">
        <v>27</v>
      </c>
      <c r="D24" t="s">
        <v>28</v>
      </c>
      <c r="E24" t="s">
        <v>42</v>
      </c>
      <c r="F24" t="s">
        <v>30</v>
      </c>
      <c r="G24" t="s">
        <v>119</v>
      </c>
      <c r="H24" t="s">
        <v>51</v>
      </c>
      <c r="I24" t="s">
        <v>52</v>
      </c>
      <c r="J24" t="s">
        <v>34</v>
      </c>
      <c r="K24" s="4">
        <v>46248</v>
      </c>
      <c r="L24" s="4">
        <v>46248</v>
      </c>
      <c r="M24" t="s">
        <v>120</v>
      </c>
      <c r="O24" s="5">
        <v>1022</v>
      </c>
      <c r="P24" s="5">
        <v>92</v>
      </c>
      <c r="Q24" t="s">
        <v>36</v>
      </c>
      <c r="R24" t="s">
        <v>47</v>
      </c>
      <c r="S24" t="s">
        <v>38</v>
      </c>
      <c r="T24" t="s">
        <v>48</v>
      </c>
      <c r="U24" t="s">
        <v>40</v>
      </c>
    </row>
    <row r="25" spans="1:22" x14ac:dyDescent="0.25">
      <c r="A25" t="s">
        <v>25</v>
      </c>
      <c r="B25" t="s">
        <v>121</v>
      </c>
      <c r="C25" t="s">
        <v>27</v>
      </c>
      <c r="D25" t="s">
        <v>28</v>
      </c>
      <c r="E25" t="s">
        <v>42</v>
      </c>
      <c r="F25" t="s">
        <v>30</v>
      </c>
      <c r="G25" t="s">
        <v>122</v>
      </c>
      <c r="H25" t="s">
        <v>57</v>
      </c>
      <c r="I25" t="s">
        <v>58</v>
      </c>
      <c r="J25" t="s">
        <v>34</v>
      </c>
      <c r="K25" s="4">
        <v>46248</v>
      </c>
      <c r="L25" s="4">
        <v>46248</v>
      </c>
      <c r="M25" t="s">
        <v>123</v>
      </c>
      <c r="O25" s="5">
        <v>1023</v>
      </c>
      <c r="P25" s="5">
        <v>93</v>
      </c>
      <c r="Q25" t="s">
        <v>36</v>
      </c>
      <c r="R25" t="s">
        <v>54</v>
      </c>
      <c r="S25" t="s">
        <v>38</v>
      </c>
      <c r="T25" t="s">
        <v>48</v>
      </c>
      <c r="U25" t="s">
        <v>40</v>
      </c>
    </row>
    <row r="26" spans="1:22" x14ac:dyDescent="0.25">
      <c r="A26" t="s">
        <v>25</v>
      </c>
      <c r="B26" t="s">
        <v>124</v>
      </c>
      <c r="C26" t="s">
        <v>27</v>
      </c>
      <c r="D26" t="s">
        <v>28</v>
      </c>
      <c r="E26" t="s">
        <v>29</v>
      </c>
      <c r="F26" t="s">
        <v>30</v>
      </c>
      <c r="G26" t="s">
        <v>125</v>
      </c>
      <c r="H26" t="s">
        <v>32</v>
      </c>
      <c r="I26" t="s">
        <v>33</v>
      </c>
      <c r="J26" t="s">
        <v>34</v>
      </c>
      <c r="K26" s="4">
        <v>46248</v>
      </c>
      <c r="L26" s="4">
        <v>46248</v>
      </c>
      <c r="M26" t="s">
        <v>126</v>
      </c>
      <c r="O26" s="5">
        <v>1024</v>
      </c>
      <c r="P26" s="5">
        <v>94</v>
      </c>
      <c r="Q26" t="s">
        <v>36</v>
      </c>
      <c r="R26" t="s">
        <v>60</v>
      </c>
      <c r="S26" t="s">
        <v>38</v>
      </c>
      <c r="T26" t="s">
        <v>39</v>
      </c>
      <c r="U26" t="s">
        <v>40</v>
      </c>
    </row>
    <row r="27" spans="1:22" x14ac:dyDescent="0.25">
      <c r="A27" t="s">
        <v>25</v>
      </c>
      <c r="B27" t="s">
        <v>127</v>
      </c>
      <c r="C27" t="s">
        <v>27</v>
      </c>
      <c r="D27" t="s">
        <v>28</v>
      </c>
      <c r="E27" t="s">
        <v>42</v>
      </c>
      <c r="F27" t="s">
        <v>30</v>
      </c>
      <c r="G27" t="s">
        <v>128</v>
      </c>
      <c r="H27" t="s">
        <v>44</v>
      </c>
      <c r="I27" t="s">
        <v>45</v>
      </c>
      <c r="J27" t="s">
        <v>34</v>
      </c>
      <c r="K27" s="4">
        <v>46248</v>
      </c>
      <c r="L27" s="4">
        <v>46248</v>
      </c>
      <c r="M27" t="s">
        <v>129</v>
      </c>
      <c r="O27" s="5">
        <v>1025</v>
      </c>
      <c r="P27" s="5">
        <v>95</v>
      </c>
      <c r="Q27" t="s">
        <v>36</v>
      </c>
      <c r="R27" t="s">
        <v>64</v>
      </c>
      <c r="S27" t="s">
        <v>38</v>
      </c>
      <c r="T27" t="s">
        <v>48</v>
      </c>
      <c r="U27" t="s">
        <v>40</v>
      </c>
    </row>
    <row r="28" spans="1:22" x14ac:dyDescent="0.25">
      <c r="A28" t="s">
        <v>25</v>
      </c>
      <c r="B28" t="s">
        <v>130</v>
      </c>
      <c r="C28" t="s">
        <v>27</v>
      </c>
      <c r="D28" t="s">
        <v>28</v>
      </c>
      <c r="E28" t="s">
        <v>42</v>
      </c>
      <c r="F28" t="s">
        <v>30</v>
      </c>
      <c r="G28" t="s">
        <v>131</v>
      </c>
      <c r="H28" t="s">
        <v>51</v>
      </c>
      <c r="I28" t="s">
        <v>52</v>
      </c>
      <c r="J28" t="s">
        <v>34</v>
      </c>
      <c r="K28" s="4">
        <v>46248</v>
      </c>
      <c r="L28" s="4">
        <v>46248</v>
      </c>
      <c r="M28" t="s">
        <v>132</v>
      </c>
      <c r="O28" s="5">
        <v>1026</v>
      </c>
      <c r="P28" s="5">
        <v>96</v>
      </c>
      <c r="Q28" t="s">
        <v>36</v>
      </c>
      <c r="R28" t="s">
        <v>68</v>
      </c>
      <c r="S28" t="s">
        <v>38</v>
      </c>
      <c r="T28" t="s">
        <v>48</v>
      </c>
      <c r="U28" t="s">
        <v>40</v>
      </c>
    </row>
    <row r="29" spans="1:22" x14ac:dyDescent="0.25">
      <c r="A29" t="s">
        <v>25</v>
      </c>
      <c r="B29" t="s">
        <v>133</v>
      </c>
      <c r="C29" t="s">
        <v>27</v>
      </c>
      <c r="D29" t="s">
        <v>28</v>
      </c>
      <c r="E29" t="s">
        <v>29</v>
      </c>
      <c r="F29" t="s">
        <v>30</v>
      </c>
      <c r="G29" t="s">
        <v>134</v>
      </c>
      <c r="H29" t="s">
        <v>57</v>
      </c>
      <c r="I29" t="s">
        <v>58</v>
      </c>
      <c r="J29" t="s">
        <v>34</v>
      </c>
      <c r="K29" s="4">
        <v>46248</v>
      </c>
      <c r="L29" s="4">
        <v>46248</v>
      </c>
      <c r="M29" t="s">
        <v>135</v>
      </c>
      <c r="O29" s="5">
        <v>1027</v>
      </c>
      <c r="P29" s="5">
        <v>97</v>
      </c>
      <c r="Q29" t="s">
        <v>36</v>
      </c>
      <c r="R29" t="s">
        <v>72</v>
      </c>
      <c r="S29" t="s">
        <v>38</v>
      </c>
      <c r="T29" t="s">
        <v>39</v>
      </c>
      <c r="U29" t="s">
        <v>40</v>
      </c>
    </row>
    <row r="30" spans="1:22" x14ac:dyDescent="0.25">
      <c r="A30" t="s">
        <v>25</v>
      </c>
      <c r="B30" t="s">
        <v>136</v>
      </c>
      <c r="C30" t="s">
        <v>27</v>
      </c>
      <c r="D30" t="s">
        <v>28</v>
      </c>
      <c r="E30" t="s">
        <v>42</v>
      </c>
      <c r="F30" t="s">
        <v>30</v>
      </c>
      <c r="G30" t="s">
        <v>137</v>
      </c>
      <c r="H30" t="s">
        <v>32</v>
      </c>
      <c r="I30" t="s">
        <v>33</v>
      </c>
      <c r="J30" t="s">
        <v>34</v>
      </c>
      <c r="K30" s="4">
        <v>46248</v>
      </c>
      <c r="L30" s="4">
        <v>46248</v>
      </c>
      <c r="M30" t="s">
        <v>138</v>
      </c>
      <c r="O30" s="5">
        <v>1028</v>
      </c>
      <c r="P30" s="5">
        <v>98</v>
      </c>
      <c r="Q30" t="s">
        <v>36</v>
      </c>
      <c r="R30" t="s">
        <v>37</v>
      </c>
      <c r="S30" t="s">
        <v>38</v>
      </c>
      <c r="T30" t="s">
        <v>48</v>
      </c>
      <c r="U30" t="s">
        <v>40</v>
      </c>
    </row>
    <row r="31" spans="1:22" x14ac:dyDescent="0.25">
      <c r="A31" t="s">
        <v>25</v>
      </c>
      <c r="B31" t="s">
        <v>139</v>
      </c>
      <c r="C31" t="s">
        <v>27</v>
      </c>
      <c r="D31" t="s">
        <v>28</v>
      </c>
      <c r="E31" t="s">
        <v>42</v>
      </c>
      <c r="F31" t="s">
        <v>30</v>
      </c>
      <c r="G31" t="s">
        <v>140</v>
      </c>
      <c r="H31" t="s">
        <v>44</v>
      </c>
      <c r="I31" t="s">
        <v>45</v>
      </c>
      <c r="J31" t="s">
        <v>34</v>
      </c>
      <c r="K31" s="4">
        <v>46248</v>
      </c>
      <c r="L31" s="4">
        <v>46248</v>
      </c>
      <c r="M31" t="s">
        <v>141</v>
      </c>
      <c r="O31" s="5">
        <v>1029</v>
      </c>
      <c r="P31" s="5">
        <v>99</v>
      </c>
      <c r="Q31" t="s">
        <v>36</v>
      </c>
      <c r="R31" t="s">
        <v>47</v>
      </c>
      <c r="S31" t="s">
        <v>38</v>
      </c>
      <c r="T31" t="s">
        <v>48</v>
      </c>
      <c r="U31" t="s">
        <v>40</v>
      </c>
    </row>
  </sheetData>
  <autoFilter ref="A1:V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FormatPr defaultRowHeight="15" outlineLevelRow="0" outlineLevelCol="0" x14ac:dyDescent="55"/>
  <cols>
    <col min="1" max="3" width="18" customWidth="1"/>
  </cols>
  <sheetData>
    <row r="1" spans="1:3" x14ac:dyDescent="0.25">
      <c r="A1" t="s">
        <v>20</v>
      </c>
      <c r="B1" t="s">
        <v>21</v>
      </c>
      <c r="C1" t="s">
        <v>142</v>
      </c>
    </row>
    <row r="2" spans="1:3" x14ac:dyDescent="0.25">
      <c r="A2" t="s">
        <v>72</v>
      </c>
      <c r="B2" t="s">
        <v>143</v>
      </c>
      <c r="C2" s="5">
        <f>SUMIF(ICP_Report_BU!$R:$R,$A2,ICP_Report_BU!$P:$P)</f>
        <v>346</v>
      </c>
    </row>
    <row r="3" spans="1:3" x14ac:dyDescent="0.25">
      <c r="A3" t="s">
        <v>68</v>
      </c>
      <c r="B3" t="s">
        <v>144</v>
      </c>
      <c r="C3" s="5">
        <f>SUMIF(ICP_Report_BU!$R:$R,$A3,ICP_Report_BU!$P:$P)</f>
        <v>342</v>
      </c>
    </row>
    <row r="4" spans="1:3" x14ac:dyDescent="0.25">
      <c r="A4" t="s">
        <v>64</v>
      </c>
      <c r="B4" t="s">
        <v>145</v>
      </c>
      <c r="C4" s="5">
        <f>SUMIF(ICP_Report_BU!$R:$R,$A4,ICP_Report_BU!$P:$P)</f>
        <v>338</v>
      </c>
    </row>
    <row r="5" spans="1:3" x14ac:dyDescent="0.25">
      <c r="A5" t="s">
        <v>60</v>
      </c>
      <c r="B5" t="s">
        <v>146</v>
      </c>
      <c r="C5" s="5">
        <f>SUMIF(ICP_Report_BU!$R:$R,$A5,ICP_Report_BU!$P:$P)</f>
        <v>334</v>
      </c>
    </row>
    <row r="6" spans="1:3" x14ac:dyDescent="0.25">
      <c r="A6" t="s">
        <v>54</v>
      </c>
      <c r="B6" t="s">
        <v>147</v>
      </c>
      <c r="C6" s="5">
        <f>SUMIF(ICP_Report_BU!$R:$R,$A6,ICP_Report_BU!$P:$P)</f>
        <v>330</v>
      </c>
    </row>
    <row r="7" spans="1:3" x14ac:dyDescent="0.25">
      <c r="A7" t="s">
        <v>47</v>
      </c>
      <c r="B7" t="s">
        <v>148</v>
      </c>
      <c r="C7" s="5">
        <f>SUMIF(ICP_Report_BU!$R:$R,$A7,ICP_Report_BU!$P:$P)</f>
        <v>425</v>
      </c>
    </row>
    <row r="8" spans="1:3" x14ac:dyDescent="0.25">
      <c r="A8" t="s">
        <v>37</v>
      </c>
      <c r="B8" t="s">
        <v>149</v>
      </c>
      <c r="C8" s="5">
        <f>SUMIF(ICP_Report_BU!$R:$R,$A8,ICP_Report_BU!$P:$P)</f>
        <v>420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Incompleted_Pivot</vt:lpstr>
      <vt:lpstr>ICP_Report_BU</vt:lpstr>
      <vt:lpstr>Aging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</dc:creator>
  <dc:title/>
  <dc:subject/>
  <dc:description/>
  <cp:keywords/>
  <cp:category/>
  <cp:lastModifiedBy>Unknown</cp:lastModifiedBy>
  <dcterms:created xsi:type="dcterms:W3CDTF">2026-10-03T02:22:55Z</dcterms:created>
  <dcterms:modified xsi:type="dcterms:W3CDTF">2026-10-03T02:22:55Z</dcterms:modified>
</cp:coreProperties>
</file>