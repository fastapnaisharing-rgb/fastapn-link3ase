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ntralgroup.sharepoint.com/sites/FAST/AP Non Merchandise/VAT Controller/My System/Z_Report Reconcile/0568/2026.08/"/>
    </mc:Choice>
  </mc:AlternateContent>
  <xr:revisionPtr revIDLastSave="0" documentId="8_{E544AFA8-E17D-4FF5-B3FB-15AD9DFF31FB}" xr6:coauthVersionLast="45" xr6:coauthVersionMax="45" xr10:uidLastSave="{00000000-0000-0000-0000-000000000000}"/>
  <bookViews>
    <workbookView xWindow="-110" yWindow="-110" windowWidth="19420" windowHeight="10300" xr2:uid="{0B38D1CE-DAB0-4F10-AB4A-2308E3E25A00}"/>
  </bookViews>
  <sheets>
    <sheet name="Cover" sheetId="1" r:id="rId1"/>
    <sheet name="TB 21930052" sheetId="2" r:id="rId2"/>
    <sheet name="Accounts Payable Trial Balance" sheetId="3" r:id="rId3"/>
  </sheets>
  <externalReferences>
    <externalReference r:id="rId4"/>
    <externalReference r:id="rId5"/>
  </externalReferences>
  <definedNames>
    <definedName name="______xlfn.BAHTTEXT" hidden="1">#NAME?</definedName>
    <definedName name="_____xlfn.BAHTTEXT" hidden="1">#NAME?</definedName>
    <definedName name="____xlfn.BAHTTEXT" hidden="1">#NAME?</definedName>
    <definedName name="___xlfn.BAHTTEXT" hidden="1">#NAME?</definedName>
    <definedName name="__xlfn.BAHTTEXT" hidden="1">#NAME?</definedName>
    <definedName name="_CTD1">#REF!</definedName>
    <definedName name="_xlnm._FilterDatabase" localSheetId="2" hidden="1">'Accounts Payable Trial Balance'!$L$19:$L$8510</definedName>
    <definedName name="_xlnm._FilterDatabase" localSheetId="1" hidden="1">'TB 21930052'!$A$9:$H$124</definedName>
    <definedName name="_tbl">#REF!</definedName>
    <definedName name="_wwww">#REF!</definedName>
    <definedName name="arehet">#REF!</definedName>
    <definedName name="asgaw">#REF!</definedName>
    <definedName name="ATV">#REF!</definedName>
    <definedName name="Branch">#REF!</definedName>
    <definedName name="CTD">#REF!</definedName>
    <definedName name="EMN">#REF!</definedName>
    <definedName name="EMS" localSheetId="2">#REF!</definedName>
    <definedName name="EMS">#REF!</definedName>
    <definedName name="ENR">#REF!</definedName>
    <definedName name="Excel_BuiltIn_Print_Titles_1">#REF!</definedName>
    <definedName name="Excel_BuiltIn_Print_Titles_2">#REF!</definedName>
    <definedName name="Excel_BuiltIn_Print_Titles_3">#REF!</definedName>
    <definedName name="Excel_BuiltIn_Print_Titles_4">#REF!</definedName>
    <definedName name="HWS">#REF!</definedName>
    <definedName name="INS" localSheetId="2">#REF!</definedName>
    <definedName name="INS">#REF!</definedName>
    <definedName name="K_Query_Expense">[2]PTC!$C$1:$F$953</definedName>
    <definedName name="KERRY">#REF!</definedName>
    <definedName name="RCB">#REF!</definedName>
    <definedName name="RCV">#REF!</definedName>
    <definedName name="THAI">#REF!</definedName>
    <definedName name="บุคคลที่เกี่ยวโยง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0" i="1" l="1"/>
  <c r="G18" i="1"/>
  <c r="G16" i="1"/>
  <c r="F20" i="1"/>
  <c r="F18" i="1"/>
  <c r="F16" i="1"/>
  <c r="E16" i="1"/>
  <c r="E23" i="1" s="1"/>
  <c r="F25" i="2"/>
  <c r="G25" i="2"/>
  <c r="H25" i="2"/>
  <c r="J25" i="2"/>
  <c r="K25" i="2"/>
  <c r="M10" i="2"/>
  <c r="M11" i="2"/>
  <c r="M14" i="2"/>
  <c r="M24" i="2"/>
  <c r="L10" i="2"/>
  <c r="L11" i="2"/>
  <c r="L14" i="2"/>
  <c r="L24" i="2"/>
  <c r="I10" i="2"/>
  <c r="I11" i="2"/>
  <c r="I25" i="2" s="1"/>
  <c r="I12" i="2"/>
  <c r="L12" i="2" s="1"/>
  <c r="M12" i="2" s="1"/>
  <c r="I13" i="2"/>
  <c r="L13" i="2" s="1"/>
  <c r="M13" i="2" s="1"/>
  <c r="I14" i="2"/>
  <c r="I15" i="2"/>
  <c r="L15" i="2" s="1"/>
  <c r="M15" i="2" s="1"/>
  <c r="I16" i="2"/>
  <c r="L16" i="2" s="1"/>
  <c r="M16" i="2" s="1"/>
  <c r="I17" i="2"/>
  <c r="L17" i="2" s="1"/>
  <c r="M17" i="2" s="1"/>
  <c r="I18" i="2"/>
  <c r="L18" i="2" s="1"/>
  <c r="M18" i="2" s="1"/>
  <c r="I21" i="2"/>
  <c r="L21" i="2" s="1"/>
  <c r="M21" i="2" s="1"/>
  <c r="I22" i="2"/>
  <c r="L22" i="2" s="1"/>
  <c r="M22" i="2" s="1"/>
  <c r="I23" i="2"/>
  <c r="L23" i="2" s="1"/>
  <c r="M23" i="2" s="1"/>
  <c r="I24" i="2"/>
  <c r="I19" i="2"/>
  <c r="L19" i="2" s="1"/>
  <c r="M19" i="2" s="1"/>
  <c r="I20" i="2"/>
  <c r="L20" i="2" s="1"/>
  <c r="M20" i="2" s="1"/>
  <c r="I53" i="3"/>
  <c r="H53" i="3"/>
  <c r="I48" i="3"/>
  <c r="H48" i="3"/>
  <c r="I44" i="3"/>
  <c r="H44" i="3"/>
  <c r="I39" i="3"/>
  <c r="H39" i="3"/>
  <c r="I37" i="3"/>
  <c r="H37" i="3"/>
  <c r="F23" i="1" l="1"/>
  <c r="G23" i="1"/>
  <c r="L25" i="2"/>
  <c r="M25" i="2"/>
  <c r="H54" i="3"/>
  <c r="I54" i="3"/>
</calcChain>
</file>

<file path=xl/sharedStrings.xml><?xml version="1.0" encoding="utf-8"?>
<sst xmlns="http://schemas.openxmlformats.org/spreadsheetml/2006/main" count="359" uniqueCount="164">
  <si>
    <t>Date :</t>
  </si>
  <si>
    <t>(ระบุตำแหน่ง)</t>
  </si>
  <si>
    <t>(ระบุชื่อ - นามสกุล)</t>
  </si>
  <si>
    <t>AP Controller</t>
  </si>
  <si>
    <t>Review by :</t>
  </si>
  <si>
    <t>Prepare by :</t>
  </si>
  <si>
    <t>APN</t>
  </si>
  <si>
    <t>Diff</t>
  </si>
  <si>
    <t>Detail of Convert AP</t>
  </si>
  <si>
    <t>Detail of Journal</t>
  </si>
  <si>
    <t>Detail</t>
  </si>
  <si>
    <t>Detail 21930052</t>
  </si>
  <si>
    <t>Remark</t>
  </si>
  <si>
    <t>Per Detail</t>
  </si>
  <si>
    <t>Per TB</t>
  </si>
  <si>
    <t>By CPC</t>
  </si>
  <si>
    <t>Period</t>
  </si>
  <si>
    <t>Accounts Payable-Non Trade-Subsidiaries</t>
  </si>
  <si>
    <t>Account name</t>
  </si>
  <si>
    <t xml:space="preserve">Account code </t>
  </si>
  <si>
    <t>056801-056819 MP Synergy Company Limited</t>
  </si>
  <si>
    <t xml:space="preserve">Branch </t>
  </si>
  <si>
    <t>Nature :</t>
  </si>
  <si>
    <t>0568 MP Synergy Company Limited</t>
  </si>
  <si>
    <t xml:space="preserve">Company </t>
  </si>
  <si>
    <t>DETAIL OF ACCOUNT</t>
  </si>
  <si>
    <t>Notfound!!! -- TB</t>
  </si>
  <si>
    <t>Accounts Payable-Non T</t>
  </si>
  <si>
    <t>019911</t>
  </si>
  <si>
    <t>056801</t>
  </si>
  <si>
    <t>019701</t>
  </si>
  <si>
    <t>018513</t>
  </si>
  <si>
    <t>21930052</t>
  </si>
  <si>
    <t>99999</t>
  </si>
  <si>
    <t>056819</t>
  </si>
  <si>
    <t>018519</t>
  </si>
  <si>
    <t>056818</t>
  </si>
  <si>
    <t>018410</t>
  </si>
  <si>
    <t>056813</t>
  </si>
  <si>
    <t>056807</t>
  </si>
  <si>
    <t>070101</t>
  </si>
  <si>
    <t>056602</t>
  </si>
  <si>
    <t>0560H2</t>
  </si>
  <si>
    <t>0560B9</t>
  </si>
  <si>
    <t>056059</t>
  </si>
  <si>
    <t>056001</t>
  </si>
  <si>
    <t>055099</t>
  </si>
  <si>
    <t>050901</t>
  </si>
  <si>
    <t>018530</t>
  </si>
  <si>
    <t>Ending Balance</t>
  </si>
  <si>
    <t>Period Activity</t>
  </si>
  <si>
    <t>Beginnging Balance</t>
  </si>
  <si>
    <t>Description</t>
  </si>
  <si>
    <t>SubAcc</t>
  </si>
  <si>
    <t>Account</t>
  </si>
  <si>
    <t>CPC</t>
  </si>
  <si>
    <t>Branch</t>
  </si>
  <si>
    <t>01-30/09/2026 ค่าเช่าพื้นที่ (บริษัทในเครือ) สัญญาเล</t>
  </si>
  <si>
    <t>THB</t>
  </si>
  <si>
    <t>27-AUG-26</t>
  </si>
  <si>
    <t>2026-1100196553</t>
  </si>
  <si>
    <t>N-112602          : เซ็นทรัลพัฒนา บมจ. (สาขาที่00008)</t>
  </si>
  <si>
    <t>10/07/2026-10/08/2026 ค่าไฟฟ้า (บริษัทในเครือ) สัญญ</t>
  </si>
  <si>
    <t>2026-2010104439</t>
  </si>
  <si>
    <t>01-30/09/2026 ค่าบริการงานระบบ (บริษัทในเครือ) สัญญา</t>
  </si>
  <si>
    <t>2026-1100196553/1</t>
  </si>
  <si>
    <t>01-30/09/2026 ค่าบริการ (บริษัทในเครือ) สัญญาเลขที่</t>
  </si>
  <si>
    <t>2026-1100197186</t>
  </si>
  <si>
    <t>10/07-10/08/2026 (S) ค่าไฟฟ้า (บริษัทในเครือ) สัญญาเ</t>
  </si>
  <si>
    <t>2026-2010112895</t>
  </si>
  <si>
    <t>N-126519          : เซ็นทรัลพัฒนา บมจ. (สาขาที่00014)</t>
  </si>
  <si>
    <t>01-30/09/2026 (S3) ค่าบริการงานระบบ (บริษัทในเครือ)</t>
  </si>
  <si>
    <t>2026-1100198868/1</t>
  </si>
  <si>
    <t>01-30/09/2026 ค่าบริการ (บริษัทในเครือ) (S3) สัญญาเล</t>
  </si>
  <si>
    <t>2026-1100200354</t>
  </si>
  <si>
    <t>01-30/09/2026 ค่าบริการ เลขที่สัญญา RM22552060082 ร้</t>
  </si>
  <si>
    <t>28-AUG-26</t>
  </si>
  <si>
    <t>2026-1100046968</t>
  </si>
  <si>
    <t>N-131484          : ทรัสต์เพื่อการลงทุนในสิทธิการเช่าอสังหาริมทรัพย์</t>
  </si>
  <si>
    <t>01-30/09/2026 ค่าบริการงานระบบ เลขที่สัญญา RM2255206</t>
  </si>
  <si>
    <t>2026-1100046587</t>
  </si>
  <si>
    <t>10/07/2026-10/08/2026 ค่าไฟฟ้าเลขที่สัญญา RM22552060</t>
  </si>
  <si>
    <t>2026-2010015126</t>
  </si>
  <si>
    <t>01-30/09/2026 ค่าเช่าพื้นที่ เลขที่สัญญา RM225520600</t>
  </si>
  <si>
    <t>2026-1100046587/1</t>
  </si>
  <si>
    <t>2026-2010002014</t>
  </si>
  <si>
    <t>N-141705          : ซีพีเอ็น วิลเลจ บจก. สาขาที่ 00001</t>
  </si>
  <si>
    <t>ค่าบริการอื่น ๆ จากการดำเนินงาน -บริษัทในเครือ 044_0</t>
  </si>
  <si>
    <t>26-AUG-26</t>
  </si>
  <si>
    <t>A6801/S60H2IN2608304</t>
  </si>
  <si>
    <t>N-145909          : ออฟฟิศเมท (ไทย) บจก.(Head Office 2)</t>
  </si>
  <si>
    <t>Rebate-Special GP-เครดิต บริษัทในเครือ 004_1_08/2026</t>
  </si>
  <si>
    <t>A6801/S60B9IN2608000</t>
  </si>
  <si>
    <t>N-158285          : ออฟฟิศเมท (ไทย) บจก. สาขาซีพีเอ็นเวสต์วิลล์</t>
  </si>
  <si>
    <t>ค่าขนส่งสินค้า (ไม่มีภาษีมูลค่าเพิ่ม)-บริษัทในเครือ</t>
  </si>
  <si>
    <t>A6801/S6602IN2608007</t>
  </si>
  <si>
    <t>N-141158          : ออฟฟิศเมท โลจิสติกส์ บจก. สาขาคลังสุวินทวงศ์</t>
  </si>
  <si>
    <t>25-AUG-26</t>
  </si>
  <si>
    <t>A6801/S6001IN2608111</t>
  </si>
  <si>
    <t>N-132767          : ออฟฟิศเมท (ไทย) บจก.</t>
  </si>
  <si>
    <t>EX-อุปกรณ์เครื่องเขียน-อปก สนง/เครื่องเจาะ อโรม่า 54</t>
  </si>
  <si>
    <t>18-AUG-26</t>
  </si>
  <si>
    <t>SI2608024171</t>
  </si>
  <si>
    <t>Rebate อื่น-เก็บเงินตามยอดขาย บริษัทในเครือ(ใหม่) CO</t>
  </si>
  <si>
    <t>A6801/S5099IN2608090</t>
  </si>
  <si>
    <t>N-111693          : เพาเวอร์บาย บจก. สาขาคลังสินค้า</t>
  </si>
  <si>
    <t>ค่าบริการอื่น ๆ จากการดำเนินงาน -บริษัทในเครือ CO.24</t>
  </si>
  <si>
    <t>A6801/S0901IN2608133</t>
  </si>
  <si>
    <t>N-109213          : บีทูเอส บจก. สำนักงานใหญ่</t>
  </si>
  <si>
    <t>ใบลดหนี้ 05/08/2025-05/08/2025 เงินมัดจำค่าเช่า สัญญ</t>
  </si>
  <si>
    <t>09-APR-26</t>
  </si>
  <si>
    <t>2025-1010000175/CN</t>
  </si>
  <si>
    <t>05/08/2025-05/08/2025 เงินมัดจำค่าเช่า สัญญาเลขที่ S</t>
  </si>
  <si>
    <t>2025-1010000175/B</t>
  </si>
  <si>
    <t>20/04/2025-01/05/2025 เงินประกันความเสียหาย สัญญาเลข</t>
  </si>
  <si>
    <t>06-JUN-25</t>
  </si>
  <si>
    <t>2025-20500082</t>
  </si>
  <si>
    <t>N-112087          : เซ็นทรัลพัฒนา ไนน์ สแควร์ บจก.</t>
  </si>
  <si>
    <t>2025-20500082/CN</t>
  </si>
  <si>
    <t>28.08-27.11.2026 ค่าภาษีที่ดินและสิ่งปลูกสร้าง</t>
  </si>
  <si>
    <t>31-AUG-26</t>
  </si>
  <si>
    <t>2026-1100213956</t>
  </si>
  <si>
    <t>N-155227          : เซ็นทรัลพัฒนา บมจ. (สาขาที่ 00026)</t>
  </si>
  <si>
    <t>01-30/09/2026 ค่าบริการสถานที่</t>
  </si>
  <si>
    <t>2025-1100213959</t>
  </si>
  <si>
    <t>28.08-27.11.2026 ค่าเบี้ยประกันภัยพื้นที่</t>
  </si>
  <si>
    <t>2026-1100213958</t>
  </si>
  <si>
    <t>28-31/08/2026 ค่าบริการสถานที่</t>
  </si>
  <si>
    <t>2025-1100213953</t>
  </si>
  <si>
    <t>Invoice Description</t>
  </si>
  <si>
    <t>Remaining Amount</t>
  </si>
  <si>
    <t>Amount</t>
  </si>
  <si>
    <t>Curr</t>
  </si>
  <si>
    <t>Invoice Date</t>
  </si>
  <si>
    <t>Invoice Number</t>
  </si>
  <si>
    <t>Supplier Number &amp;Name</t>
  </si>
  <si>
    <t xml:space="preserve">    Show Supplier Summary :       No</t>
  </si>
  <si>
    <t xml:space="preserve">      Exclude Invoices Prior To:</t>
  </si>
  <si>
    <t xml:space="preserve">         Negative Balances Only:  No</t>
  </si>
  <si>
    <t xml:space="preserve">               Summarize Report:  No</t>
  </si>
  <si>
    <t xml:space="preserve">           Liability Account To:  1-05-0568-056819-99999-21930052-018513</t>
  </si>
  <si>
    <t xml:space="preserve">         Liability Account From:  1-05-0568-056801-99999-21930052-018530</t>
  </si>
  <si>
    <t xml:space="preserve">                  Supplier Name:  All</t>
  </si>
  <si>
    <t xml:space="preserve">                     Branch To:   056819</t>
  </si>
  <si>
    <t xml:space="preserve">                   Branch From:   056801</t>
  </si>
  <si>
    <t xml:space="preserve">                     As of Date:  31-AUG-26</t>
  </si>
  <si>
    <t xml:space="preserve">            Accounting Currency:  THB</t>
  </si>
  <si>
    <t xml:space="preserve">              Reporting Context:  MPS Operation Unit</t>
  </si>
  <si>
    <t xml:space="preserve">                Reporting Level:  Operating Unit</t>
  </si>
  <si>
    <t xml:space="preserve">                                        Accounts Payable Trial Balance Summary(New) (Custom)</t>
  </si>
  <si>
    <t>MPS BOOK                                                                                              Report Date: 10-SEP-2026</t>
  </si>
  <si>
    <t>056801 Total</t>
  </si>
  <si>
    <t>056807 Total</t>
  </si>
  <si>
    <t>056813 Total</t>
  </si>
  <si>
    <t>056818 Total</t>
  </si>
  <si>
    <t>056819 Total</t>
  </si>
  <si>
    <t>Grand Total</t>
  </si>
  <si>
    <t>AP Outstanding</t>
  </si>
  <si>
    <t>Convert AP</t>
  </si>
  <si>
    <t>Journal ADJ.</t>
  </si>
  <si>
    <t>Summary AP</t>
  </si>
  <si>
    <t>Diff (AP-T/B)</t>
  </si>
  <si>
    <t>หมายเหตุ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</si>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</sst>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9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sz val="11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u/>
      <sz val="11"/>
      <color theme="10"/>
      <name val="Tahoma"/>
      <family val="2"/>
      <scheme val="minor"/>
    </font>
    <font>
      <sz val="11"/>
      <name val="Tahoma"/>
      <family val="2"/>
      <scheme val="minor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2"/>
      <color theme="0"/>
      <name val="Calibri"/>
      <family val="2"/>
    </font>
    <font>
      <sz val="11"/>
      <color rgb="FFC00000"/>
      <name val="Tahoma"/>
      <family val="2"/>
      <scheme val="minor"/>
    </font>
    <font>
      <sz val="11"/>
      <color indexed="8"/>
      <name val="Tahoma"/>
      <family val="2"/>
    </font>
    <font>
      <sz val="10"/>
      <color theme="1"/>
      <name val="Arial Unicode MS"/>
      <family val="2"/>
    </font>
    <font>
      <b/>
      <sz val="11"/>
      <name val="Tahoma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13"/>
      </patternFill>
    </fill>
  </fills>
  <borders count="3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/>
      <bottom/>
      <diagonal/>
    </border>
    <border>
      <left style="thin">
        <color theme="0" tint="-0.14996795556505021"/>
      </left>
      <right style="thin">
        <color theme="0" tint="-0.1499984740745262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 tint="-0.14999847407452621"/>
      </left>
      <right/>
      <top style="thin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67955565050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43" fontId="16" fillId="0" borderId="0" applyFont="0" applyFill="0" applyBorder="0" applyAlignment="0" applyProtection="0"/>
  </cellStyleXfs>
  <cellXfs count="110">
    <xf numFmtId="0" fontId="0" fillId="0" borderId="0" xfId="0"/>
    <xf numFmtId="0" fontId="1" fillId="0" borderId="0" xfId="2"/>
    <xf numFmtId="0" fontId="3" fillId="0" borderId="1" xfId="0" applyFont="1" applyBorder="1"/>
    <xf numFmtId="0" fontId="3" fillId="0" borderId="2" xfId="0" applyFont="1" applyBorder="1"/>
    <xf numFmtId="15" fontId="4" fillId="0" borderId="2" xfId="0" applyNumberFormat="1" applyFont="1" applyBorder="1"/>
    <xf numFmtId="0" fontId="4" fillId="0" borderId="3" xfId="0" applyFont="1" applyBorder="1"/>
    <xf numFmtId="0" fontId="3" fillId="0" borderId="4" xfId="0" applyFont="1" applyBorder="1"/>
    <xf numFmtId="15" fontId="3" fillId="0" borderId="5" xfId="0" applyNumberFormat="1" applyFont="1" applyBorder="1" applyAlignment="1">
      <alignment horizontal="left"/>
    </xf>
    <xf numFmtId="15" fontId="4" fillId="0" borderId="0" xfId="0" applyNumberFormat="1" applyFont="1" applyAlignment="1">
      <alignment horizontal="left"/>
    </xf>
    <xf numFmtId="0" fontId="4" fillId="0" borderId="6" xfId="0" applyFont="1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5" fillId="0" borderId="0" xfId="0" quotePrefix="1" applyFont="1"/>
    <xf numFmtId="0" fontId="3" fillId="2" borderId="5" xfId="0" applyFont="1" applyFill="1" applyBorder="1" applyAlignment="1">
      <alignment horizontal="left" vertical="center"/>
    </xf>
    <xf numFmtId="0" fontId="3" fillId="2" borderId="5" xfId="0" quotePrefix="1" applyFont="1" applyFill="1" applyBorder="1" applyAlignment="1">
      <alignment horizontal="left"/>
    </xf>
    <xf numFmtId="0" fontId="3" fillId="0" borderId="7" xfId="0" applyFont="1" applyBorder="1"/>
    <xf numFmtId="0" fontId="3" fillId="0" borderId="8" xfId="0" applyFont="1" applyBorder="1"/>
    <xf numFmtId="0" fontId="4" fillId="0" borderId="8" xfId="0" applyFont="1" applyBorder="1"/>
    <xf numFmtId="0" fontId="4" fillId="0" borderId="9" xfId="0" applyFont="1" applyBorder="1"/>
    <xf numFmtId="0" fontId="1" fillId="3" borderId="0" xfId="2" applyFill="1"/>
    <xf numFmtId="43" fontId="7" fillId="3" borderId="0" xfId="3" applyFont="1" applyFill="1"/>
    <xf numFmtId="0" fontId="1" fillId="0" borderId="10" xfId="2" applyBorder="1"/>
    <xf numFmtId="0" fontId="1" fillId="0" borderId="11" xfId="2" applyBorder="1"/>
    <xf numFmtId="43" fontId="7" fillId="0" borderId="11" xfId="3" applyFont="1" applyBorder="1"/>
    <xf numFmtId="0" fontId="1" fillId="0" borderId="12" xfId="2" applyBorder="1"/>
    <xf numFmtId="0" fontId="1" fillId="0" borderId="13" xfId="2" applyBorder="1"/>
    <xf numFmtId="43" fontId="7" fillId="0" borderId="0" xfId="3" applyFont="1" applyBorder="1"/>
    <xf numFmtId="0" fontId="1" fillId="0" borderId="14" xfId="2" applyBorder="1"/>
    <xf numFmtId="43" fontId="8" fillId="4" borderId="15" xfId="3" applyFont="1" applyFill="1" applyBorder="1"/>
    <xf numFmtId="43" fontId="8" fillId="4" borderId="15" xfId="1" applyFont="1" applyFill="1" applyBorder="1"/>
    <xf numFmtId="43" fontId="8" fillId="4" borderId="16" xfId="3" applyFont="1" applyFill="1" applyBorder="1"/>
    <xf numFmtId="43" fontId="8" fillId="4" borderId="17" xfId="3" applyFont="1" applyFill="1" applyBorder="1"/>
    <xf numFmtId="43" fontId="7" fillId="0" borderId="18" xfId="3" applyFont="1" applyBorder="1"/>
    <xf numFmtId="40" fontId="7" fillId="0" borderId="18" xfId="3" applyNumberFormat="1" applyFont="1" applyBorder="1"/>
    <xf numFmtId="43" fontId="7" fillId="0" borderId="19" xfId="3" applyFont="1" applyBorder="1"/>
    <xf numFmtId="40" fontId="0" fillId="0" borderId="0" xfId="0" applyNumberFormat="1"/>
    <xf numFmtId="0" fontId="9" fillId="0" borderId="13" xfId="4" quotePrefix="1" applyBorder="1"/>
    <xf numFmtId="0" fontId="10" fillId="0" borderId="13" xfId="4" quotePrefix="1" applyFont="1" applyBorder="1"/>
    <xf numFmtId="43" fontId="11" fillId="0" borderId="0" xfId="3" applyFont="1" applyBorder="1"/>
    <xf numFmtId="43" fontId="11" fillId="0" borderId="19" xfId="3" applyFont="1" applyBorder="1"/>
    <xf numFmtId="0" fontId="12" fillId="3" borderId="20" xfId="2" applyFont="1" applyFill="1" applyBorder="1" applyAlignment="1">
      <alignment horizontal="left"/>
    </xf>
    <xf numFmtId="0" fontId="12" fillId="3" borderId="20" xfId="2" applyFont="1" applyFill="1" applyBorder="1" applyAlignment="1">
      <alignment horizontal="center"/>
    </xf>
    <xf numFmtId="0" fontId="13" fillId="3" borderId="21" xfId="2" applyFont="1" applyFill="1" applyBorder="1"/>
    <xf numFmtId="0" fontId="13" fillId="3" borderId="22" xfId="2" applyFont="1" applyFill="1" applyBorder="1"/>
    <xf numFmtId="0" fontId="1" fillId="0" borderId="23" xfId="2" applyBorder="1"/>
    <xf numFmtId="0" fontId="1" fillId="0" borderId="24" xfId="2" applyBorder="1"/>
    <xf numFmtId="0" fontId="1" fillId="0" borderId="25" xfId="2" applyBorder="1"/>
    <xf numFmtId="0" fontId="7" fillId="0" borderId="13" xfId="2" applyFont="1" applyBorder="1"/>
    <xf numFmtId="0" fontId="7" fillId="0" borderId="0" xfId="2" applyFont="1"/>
    <xf numFmtId="0" fontId="7" fillId="0" borderId="0" xfId="2" applyFont="1" applyAlignment="1">
      <alignment horizontal="left"/>
    </xf>
    <xf numFmtId="15" fontId="7" fillId="0" borderId="0" xfId="0" quotePrefix="1" applyNumberFormat="1" applyFont="1" applyAlignment="1">
      <alignment horizontal="left"/>
    </xf>
    <xf numFmtId="0" fontId="11" fillId="0" borderId="14" xfId="2" applyFont="1" applyBorder="1"/>
    <xf numFmtId="0" fontId="11" fillId="0" borderId="0" xfId="2" applyFont="1" applyAlignment="1">
      <alignment horizontal="center"/>
    </xf>
    <xf numFmtId="0" fontId="7" fillId="0" borderId="0" xfId="0" applyFont="1" applyAlignment="1">
      <alignment horizontal="left"/>
    </xf>
    <xf numFmtId="0" fontId="11" fillId="0" borderId="0" xfId="2" applyFont="1"/>
    <xf numFmtId="0" fontId="7" fillId="0" borderId="0" xfId="0" quotePrefix="1" applyFont="1" applyAlignment="1">
      <alignment horizontal="left"/>
    </xf>
    <xf numFmtId="0" fontId="14" fillId="3" borderId="23" xfId="2" applyFont="1" applyFill="1" applyBorder="1" applyAlignment="1">
      <alignment horizontal="center"/>
    </xf>
    <xf numFmtId="0" fontId="14" fillId="3" borderId="24" xfId="2" applyFont="1" applyFill="1" applyBorder="1" applyAlignment="1">
      <alignment horizontal="center"/>
    </xf>
    <xf numFmtId="0" fontId="14" fillId="3" borderId="25" xfId="2" applyFont="1" applyFill="1" applyBorder="1" applyAlignment="1">
      <alignment horizontal="center"/>
    </xf>
    <xf numFmtId="0" fontId="2" fillId="5" borderId="0" xfId="0" applyFont="1" applyFill="1"/>
    <xf numFmtId="43" fontId="7" fillId="0" borderId="0" xfId="5" applyFont="1"/>
    <xf numFmtId="0" fontId="7" fillId="0" borderId="0" xfId="0" applyFont="1"/>
    <xf numFmtId="0" fontId="7" fillId="0" borderId="0" xfId="5" applyNumberFormat="1" applyFont="1"/>
    <xf numFmtId="0" fontId="7" fillId="0" borderId="0" xfId="5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49" fontId="0" fillId="0" borderId="27" xfId="0" applyNumberFormat="1" applyBorder="1" applyAlignment="1">
      <alignment horizontal="center" vertical="center"/>
    </xf>
    <xf numFmtId="49" fontId="0" fillId="0" borderId="27" xfId="0" applyNumberFormat="1" applyBorder="1"/>
    <xf numFmtId="49" fontId="0" fillId="0" borderId="27" xfId="0" applyNumberFormat="1" applyBorder="1" applyAlignment="1">
      <alignment horizontal="left" vertical="center"/>
    </xf>
    <xf numFmtId="4" fontId="0" fillId="0" borderId="27" xfId="0" applyNumberFormat="1" applyBorder="1"/>
    <xf numFmtId="0" fontId="0" fillId="0" borderId="27" xfId="0" applyBorder="1"/>
    <xf numFmtId="49" fontId="0" fillId="0" borderId="28" xfId="0" applyNumberFormat="1" applyBorder="1" applyAlignment="1">
      <alignment horizontal="center" vertical="center"/>
    </xf>
    <xf numFmtId="49" fontId="0" fillId="0" borderId="28" xfId="0" applyNumberFormat="1" applyBorder="1"/>
    <xf numFmtId="49" fontId="0" fillId="0" borderId="28" xfId="0" applyNumberFormat="1" applyBorder="1" applyAlignment="1">
      <alignment horizontal="left" vertical="center"/>
    </xf>
    <xf numFmtId="4" fontId="0" fillId="0" borderId="28" xfId="0" applyNumberFormat="1" applyBorder="1"/>
    <xf numFmtId="0" fontId="0" fillId="0" borderId="28" xfId="0" applyBorder="1"/>
    <xf numFmtId="49" fontId="12" fillId="3" borderId="29" xfId="0" applyNumberFormat="1" applyFont="1" applyFill="1" applyBorder="1" applyAlignment="1">
      <alignment horizontal="center" vertical="center"/>
    </xf>
    <xf numFmtId="40" fontId="12" fillId="3" borderId="29" xfId="0" applyNumberFormat="1" applyFont="1" applyFill="1" applyBorder="1" applyAlignment="1">
      <alignment horizontal="center" vertical="center"/>
    </xf>
    <xf numFmtId="1" fontId="12" fillId="3" borderId="29" xfId="0" applyNumberFormat="1" applyFont="1" applyFill="1" applyBorder="1" applyAlignment="1">
      <alignment horizontal="center" vertical="center"/>
    </xf>
    <xf numFmtId="49" fontId="18" fillId="6" borderId="30" xfId="0" applyNumberFormat="1" applyFont="1" applyFill="1" applyBorder="1" applyAlignment="1">
      <alignment horizontal="center" vertical="center"/>
    </xf>
    <xf numFmtId="49" fontId="18" fillId="6" borderId="30" xfId="0" applyNumberFormat="1" applyFont="1" applyFill="1" applyBorder="1"/>
    <xf numFmtId="49" fontId="18" fillId="6" borderId="30" xfId="0" applyNumberFormat="1" applyFont="1" applyFill="1" applyBorder="1" applyAlignment="1">
      <alignment horizontal="left" vertical="center"/>
    </xf>
    <xf numFmtId="0" fontId="18" fillId="6" borderId="30" xfId="0" applyFont="1" applyFill="1" applyBorder="1"/>
    <xf numFmtId="0" fontId="18" fillId="6" borderId="31" xfId="0" applyFont="1" applyFill="1" applyBorder="1"/>
    <xf numFmtId="49" fontId="18" fillId="6" borderId="26" xfId="0" applyNumberFormat="1" applyFont="1" applyFill="1" applyBorder="1" applyAlignment="1">
      <alignment horizontal="left" vertical="center"/>
    </xf>
    <xf numFmtId="4" fontId="18" fillId="6" borderId="30" xfId="0" applyNumberFormat="1" applyFont="1" applyFill="1" applyBorder="1"/>
    <xf numFmtId="0" fontId="18" fillId="6" borderId="33" xfId="0" applyFont="1" applyFill="1" applyBorder="1"/>
    <xf numFmtId="49" fontId="18" fillId="6" borderId="32" xfId="0" applyNumberFormat="1" applyFont="1" applyFill="1" applyBorder="1" applyAlignment="1">
      <alignment horizontal="left" vertical="center"/>
    </xf>
    <xf numFmtId="40" fontId="7" fillId="0" borderId="0" xfId="1" applyNumberFormat="1" applyFont="1"/>
    <xf numFmtId="40" fontId="12" fillId="3" borderId="29" xfId="1" applyNumberFormat="1" applyFont="1" applyFill="1" applyBorder="1" applyAlignment="1">
      <alignment horizontal="center" vertical="center"/>
    </xf>
    <xf numFmtId="40" fontId="0" fillId="0" borderId="27" xfId="1" applyNumberFormat="1" applyFont="1" applyBorder="1"/>
    <xf numFmtId="40" fontId="18" fillId="6" borderId="30" xfId="1" applyNumberFormat="1" applyFont="1" applyFill="1" applyBorder="1"/>
    <xf numFmtId="0" fontId="14" fillId="7" borderId="0" xfId="0" applyFont="1" applyFill="1" applyAlignment="1">
      <alignment horizontal="center" vertical="center"/>
    </xf>
    <xf numFmtId="0" fontId="14" fillId="7" borderId="35" xfId="0" applyFont="1" applyFill="1" applyBorder="1" applyAlignment="1">
      <alignment horizontal="center" vertical="center"/>
    </xf>
    <xf numFmtId="43" fontId="14" fillId="7" borderId="35" xfId="5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49" fontId="0" fillId="0" borderId="37" xfId="0" applyNumberFormat="1" applyBorder="1"/>
    <xf numFmtId="0" fontId="0" fillId="0" borderId="36" xfId="0" applyBorder="1"/>
    <xf numFmtId="0" fontId="0" fillId="0" borderId="34" xfId="0" applyBorder="1"/>
    <xf numFmtId="49" fontId="15" fillId="0" borderId="27" xfId="0" applyNumberFormat="1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27" xfId="0" applyFont="1" applyBorder="1"/>
    <xf numFmtId="0" fontId="15" fillId="0" borderId="34" xfId="0" applyFont="1" applyBorder="1"/>
    <xf numFmtId="0" fontId="18" fillId="6" borderId="32" xfId="0" applyFont="1" applyFill="1" applyBorder="1"/>
    <xf numFmtId="0" fontId="0" fillId="0" borderId="38" xfId="0" applyBorder="1"/>
    <xf numFmtId="40" fontId="0" fillId="0" borderId="37" xfId="1" applyNumberFormat="1" applyFont="1" applyBorder="1"/>
    <xf numFmtId="40" fontId="15" fillId="0" borderId="27" xfId="1" applyNumberFormat="1" applyFont="1" applyBorder="1"/>
    <xf numFmtId="40" fontId="0" fillId="0" borderId="28" xfId="1" applyNumberFormat="1" applyFont="1" applyBorder="1"/>
    <xf numFmtId="43" fontId="7" fillId="0" borderId="18" xfId="1" applyFont="1" applyBorder="1"/>
    <xf numFmtId="43" fontId="7" fillId="0" borderId="0" xfId="1" applyFont="1" applyBorder="1"/>
  </cellXfs>
  <cellStyles count="6">
    <cellStyle name="Comma" xfId="1" builtinId="3"/>
    <cellStyle name="Comma 2" xfId="5" xr:uid="{5020C7A5-4A89-4CCA-AB63-3BD1C8BD0745}"/>
    <cellStyle name="Comma 2 3" xfId="3" xr:uid="{D1CECD9E-8A0C-4970-A014-AE154A19D5D8}"/>
    <cellStyle name="Hyperlink" xfId="4" builtinId="8"/>
    <cellStyle name="Normal" xfId="0" builtinId="0"/>
    <cellStyle name="Normal 2 2 2 6" xfId="2" xr:uid="{594CEAC1-57AF-4163-811B-8831EADC2415}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ata\A_Networksystem\USER\A_ReconcileAcc_Temp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PO2548\Oracle_Macro_J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OJ-Detail"/>
      <sheetName val="Company"/>
      <sheetName val="Manual"/>
      <sheetName val="Branch"/>
      <sheetName val="Cover_Temp."/>
      <sheetName val="MT_Reportvat"/>
      <sheetName val="MT_ReportAVL"/>
      <sheetName val="IP-Master"/>
      <sheetName val="AVL-Master"/>
      <sheetName val="Temp-TB"/>
      <sheetName val="Master_AccPay"/>
      <sheetName val="SP-Master"/>
      <sheetName val="MT-Pivo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TC"/>
      <sheetName val="Send_rows"/>
      <sheetName val="Macro 2"/>
      <sheetName val="Target Protection &gt;=10%of 2004"/>
      <sheetName val=" Actual Protection &gt;=10%of 2004"/>
      <sheetName val="Macro_2"/>
      <sheetName val="Target_Protection_&gt;=10%of_2004"/>
      <sheetName val="_Actual_Protection_&gt;=10%of_2004"/>
      <sheetName val="Shrink 100 Item"/>
      <sheetName val="Book 1 Summary"/>
      <sheetName val="HS"/>
      <sheetName val="Macro_21"/>
      <sheetName val="Target_Protection_&gt;=10%of_20041"/>
      <sheetName val="_Actual_Protection_&gt;=10%of_2001"/>
      <sheetName val="CZPN_231031"/>
      <sheetName val="Shrink_100_Item"/>
      <sheetName val="crude-d"/>
      <sheetName val="s'pore-d"/>
      <sheetName val="postlpg"/>
      <sheetName val="Office Space"/>
      <sheetName val="postf1"/>
      <sheetName val="posthd1"/>
      <sheetName val="po97(02)"/>
      <sheetName val="CST1198"/>
      <sheetName val="DEC-11"/>
      <sheetName val="Macro_22"/>
      <sheetName val="Target_Protection_&gt;=10%of_20042"/>
      <sheetName val="_Actual_Protection_&gt;=10%of_2002"/>
      <sheetName val="Book_1_Summary"/>
      <sheetName val="dep12"/>
      <sheetName val="Tesco0307"/>
      <sheetName val="#REF"/>
      <sheetName val="Macro_23"/>
      <sheetName val="Target_Protection_&gt;=10%of_20043"/>
      <sheetName val="_Actual_Protection_&gt;=10%of_2003"/>
      <sheetName val="Shrink_100_Item1"/>
      <sheetName val="Book_1_Summary1"/>
      <sheetName val="Office_Space"/>
      <sheetName val="Macro_24"/>
      <sheetName val="Target_Protection_&gt;=10%of_20044"/>
      <sheetName val="_Actual_Protection_&gt;=10%of_2005"/>
      <sheetName val="Shrink_100_Item2"/>
      <sheetName val="Book_1_Summary2"/>
      <sheetName val="Office_Space1"/>
      <sheetName val="Retire SRO Sale"/>
      <sheetName val="Retire SRO Scrapping"/>
      <sheetName val="stat local"/>
      <sheetName val="Oracle_Macro_JV"/>
    </sheetNames>
    <sheetDataSet>
      <sheetData sheetId="0" refreshError="1">
        <row r="1">
          <cell r="C1" t="str">
            <v>Number</v>
          </cell>
          <cell r="E1" t="str">
            <v>ProductName</v>
          </cell>
          <cell r="F1" t="str">
            <v>Expense</v>
          </cell>
        </row>
        <row r="2">
          <cell r="C2" t="str">
            <v>00052-62000000</v>
          </cell>
          <cell r="D2">
            <v>999999</v>
          </cell>
          <cell r="E2" t="str">
            <v>006002-คุณอนันต์-ค่ารถไปสถานีรถไฟสามเสน,ปิ่นเกล้า ไปถ่ายรูปกิจกรรม TOPS</v>
          </cell>
          <cell r="F2">
            <v>425</v>
          </cell>
        </row>
        <row r="3">
          <cell r="C3" t="str">
            <v>00052-61805050</v>
          </cell>
          <cell r="D3">
            <v>999999</v>
          </cell>
          <cell r="E3" t="str">
            <v>006002-คุณอนันต์-ค่าเบี้ยเลี้ยงไปเกาะสมุย 2 วัน วันที่ 25-26/05/05</v>
          </cell>
          <cell r="F3">
            <v>400</v>
          </cell>
        </row>
        <row r="4">
          <cell r="C4" t="str">
            <v>00042-62000000</v>
          </cell>
          <cell r="D4">
            <v>999999</v>
          </cell>
          <cell r="E4" t="str">
            <v>006003-คุณนภาพร-ค่ารถไปกรมที่ดินยื่นหนังสือประเมินที่ดิน,ค่ารถไปสพท.13 จดโอนสาขาเจริญกรุงไป FAST,ค่ารถไปกรมทะเบียนการค้านนทบุรียื่นงบการเงินปี 47</v>
          </cell>
          <cell r="F4">
            <v>600</v>
          </cell>
        </row>
        <row r="5">
          <cell r="C5" t="str">
            <v>00092-60141250</v>
          </cell>
          <cell r="D5">
            <v>999999</v>
          </cell>
          <cell r="E5" t="str">
            <v>006004-คุณวิภารัตน์-ค่ารักษาพยาบาล รพ.รามคำแหง วันที่ 27/05/05</v>
          </cell>
          <cell r="F5">
            <v>483</v>
          </cell>
        </row>
        <row r="6">
          <cell r="C6" t="str">
            <v>00011-60141250</v>
          </cell>
          <cell r="D6">
            <v>999999</v>
          </cell>
          <cell r="E6" t="str">
            <v>006005-คุณพัชรี-ค่ารักษาพยาบาล รพ.วิชัยยุทธ วันที่ 30/04/05</v>
          </cell>
          <cell r="F6">
            <v>400</v>
          </cell>
        </row>
        <row r="7">
          <cell r="C7" t="str">
            <v>00095-61805050</v>
          </cell>
          <cell r="D7">
            <v>999999</v>
          </cell>
          <cell r="E7" t="str">
            <v>006006-คุณทรงพล-ค่าเบี้ยเลี้ยงไปสมุย 2 วัน(23-24/05/05) ,ค่าภาษีสนามบิน</v>
          </cell>
          <cell r="F7">
            <v>700</v>
          </cell>
        </row>
        <row r="8">
          <cell r="C8" t="str">
            <v>00095-62000000</v>
          </cell>
          <cell r="D8">
            <v>999999</v>
          </cell>
          <cell r="E8" t="str">
            <v>006006-คุณทรงพล-ค่ารถจากบ้านมาสนามบินดอนเมือง,ค่าทางด่วน</v>
          </cell>
          <cell r="F8">
            <v>640</v>
          </cell>
        </row>
        <row r="9">
          <cell r="C9" t="str">
            <v>00095-62000000</v>
          </cell>
          <cell r="D9">
            <v>999999</v>
          </cell>
          <cell r="E9" t="str">
            <v>006007-คุณทรงพล-ค่ารถไปสุขุมวิท 19,ตลิ่งชัน เพื่อทดสอบโปรแกรม,แก้ไข PC ,ค่ารถไปปิ่นเกล้า เพื่อแก้ไข PC</v>
          </cell>
          <cell r="F9">
            <v>670</v>
          </cell>
        </row>
        <row r="10">
          <cell r="C10" t="str">
            <v>00095-62000000</v>
          </cell>
          <cell r="D10">
            <v>999999</v>
          </cell>
          <cell r="E10" t="str">
            <v>006008-คุณทรงพล-ค่ารถไปสาขาศรีย่าน,รังสิต,เซียร์,พระราม 2 เพื่อทำการแก้ไข POS ,เพื่อส่งคืนและติดตั้ง PC</v>
          </cell>
          <cell r="F10">
            <v>1420</v>
          </cell>
        </row>
        <row r="11">
          <cell r="C11" t="str">
            <v>00047-62000000</v>
          </cell>
          <cell r="D11">
            <v>999999</v>
          </cell>
          <cell r="E11" t="str">
            <v>006009-คุณยุทธนา-ค่ารถไปกลับสาขาเทพารักษ์ วันที่ 31/05/05</v>
          </cell>
          <cell r="F11">
            <v>552</v>
          </cell>
        </row>
        <row r="12">
          <cell r="C12" t="str">
            <v>00047-62000000</v>
          </cell>
          <cell r="D12">
            <v>999999</v>
          </cell>
          <cell r="E12" t="str">
            <v>006010-คุณทศพร-ค่ารถไปกลับสาขาสุขุมวิท 41 วันที่ 30/05/05</v>
          </cell>
          <cell r="F12">
            <v>216</v>
          </cell>
        </row>
        <row r="13">
          <cell r="C13" t="str">
            <v>00004-62000000</v>
          </cell>
          <cell r="D13">
            <v>999999</v>
          </cell>
          <cell r="E13" t="str">
            <v>006011-คุณรัศมี-ค่ารถไปสาขาปิยะรมณ์,อาร์ซีเอ,สุขุมวิท ไปเพื่อตรวจประเมินสาขา วันที่ 31/05/05,01/06/05</v>
          </cell>
          <cell r="F13">
            <v>848</v>
          </cell>
        </row>
        <row r="14">
          <cell r="C14" t="str">
            <v>00018-61100000</v>
          </cell>
          <cell r="D14">
            <v>999999</v>
          </cell>
          <cell r="E14" t="str">
            <v>006012-คุณธนาวรรณ-ค่าสินค้าตัวอย่าง</v>
          </cell>
          <cell r="F14">
            <v>447</v>
          </cell>
        </row>
        <row r="15">
          <cell r="C15" t="str">
            <v>00018-62000000</v>
          </cell>
          <cell r="D15">
            <v>999999</v>
          </cell>
          <cell r="E15" t="str">
            <v>006013-คุณธนาวรรณ-ค่ารถไปกระทรวงเกษตรและสหกรณ์,ค่าทางด่วน วันที่ 30/05/05</v>
          </cell>
          <cell r="F15">
            <v>340</v>
          </cell>
        </row>
        <row r="16">
          <cell r="C16" t="str">
            <v>00013-60141250</v>
          </cell>
          <cell r="D16">
            <v>999999</v>
          </cell>
          <cell r="E16" t="str">
            <v>006014-คุณอัจฉรา-ค่ารักษาพยาบาล รพ.นนทเวช วันที่ 24/05/05</v>
          </cell>
          <cell r="F16">
            <v>627</v>
          </cell>
        </row>
        <row r="17">
          <cell r="C17" t="str">
            <v>00006-62000000</v>
          </cell>
          <cell r="D17">
            <v>999999</v>
          </cell>
          <cell r="E17" t="str">
            <v>006015-คุณนเรศ-ค่ารถไปอิมแพคอารีน่า วันที่ 19/05/05</v>
          </cell>
          <cell r="F17">
            <v>300</v>
          </cell>
        </row>
        <row r="18">
          <cell r="C18" t="str">
            <v>00054-60141250</v>
          </cell>
          <cell r="D18">
            <v>999999</v>
          </cell>
          <cell r="E18" t="str">
            <v>006016-คุณศศิกานต์-ค่ารักษาพยาบาล รพ.เซ็นทรัลเยนเนอรัล วันที่ 18/05/05</v>
          </cell>
          <cell r="F18">
            <v>1202</v>
          </cell>
        </row>
        <row r="19">
          <cell r="C19" t="str">
            <v>00064-61420000</v>
          </cell>
          <cell r="D19">
            <v>999999</v>
          </cell>
          <cell r="E19" t="str">
            <v>006017-คุณชวลิต-ค่าส่งจดหมายลงทะเบียน 5 ชิ้น</v>
          </cell>
          <cell r="F19">
            <v>69</v>
          </cell>
        </row>
        <row r="20">
          <cell r="C20" t="str">
            <v>00063-60141550</v>
          </cell>
          <cell r="D20">
            <v>999999</v>
          </cell>
          <cell r="E20" t="str">
            <v>006017-คุณอรวีณ์-ค่ารถคณะกรรมการนันทนาการจากสาขามาประชุม วันที่18/05/05</v>
          </cell>
          <cell r="F20">
            <v>460</v>
          </cell>
        </row>
        <row r="21">
          <cell r="C21" t="str">
            <v>00063-61705150</v>
          </cell>
          <cell r="D21">
            <v>999999</v>
          </cell>
          <cell r="E21" t="str">
            <v>006017-คุณวันดี-ค่าดราฟท์เทปติดกรอบรูปประกาศ</v>
          </cell>
          <cell r="F21">
            <v>41.12</v>
          </cell>
        </row>
        <row r="22">
          <cell r="C22" t="str">
            <v>45110-11630060</v>
          </cell>
          <cell r="D22">
            <v>999999</v>
          </cell>
          <cell r="E22" t="str">
            <v>006017-8166048-บีทูเอส</v>
          </cell>
          <cell r="F22">
            <v>2.88</v>
          </cell>
        </row>
        <row r="23">
          <cell r="C23" t="str">
            <v>00063-60900000</v>
          </cell>
          <cell r="D23">
            <v>999999</v>
          </cell>
          <cell r="E23" t="str">
            <v>006017-คุณวันดี-ค่าแผ่นซีดี</v>
          </cell>
          <cell r="F23">
            <v>139.25</v>
          </cell>
        </row>
        <row r="24">
          <cell r="C24" t="str">
            <v>45110-11630060</v>
          </cell>
          <cell r="D24">
            <v>999999</v>
          </cell>
          <cell r="E24" t="str">
            <v>006017-816693-บีทูเอส</v>
          </cell>
          <cell r="F24">
            <v>9.75</v>
          </cell>
        </row>
        <row r="25">
          <cell r="C25" t="str">
            <v>00064-61420000</v>
          </cell>
          <cell r="D25">
            <v>999999</v>
          </cell>
          <cell r="E25" t="str">
            <v>006017-คุณชวลิต-ค่าส่งจดหมายลงทะเบียน EMS 3 ชิ้น</v>
          </cell>
          <cell r="F25">
            <v>257</v>
          </cell>
        </row>
        <row r="26">
          <cell r="C26" t="str">
            <v>00064-61420000</v>
          </cell>
          <cell r="D26">
            <v>999999</v>
          </cell>
          <cell r="E26" t="str">
            <v>006017-คุณชวลิต-ค่าส่งจดหมายลงทะเบียน EMS 2 ชิ้น</v>
          </cell>
          <cell r="F26">
            <v>88</v>
          </cell>
        </row>
        <row r="27">
          <cell r="C27" t="str">
            <v>00064-60900000</v>
          </cell>
          <cell r="D27">
            <v>999999</v>
          </cell>
          <cell r="E27" t="str">
            <v>006017-คุณอาทิตยา-ค่าโซดาไฟ,แปรงซักผ้า</v>
          </cell>
          <cell r="F27">
            <v>151.54</v>
          </cell>
        </row>
        <row r="28">
          <cell r="C28" t="str">
            <v>00064-60900000</v>
          </cell>
          <cell r="D28">
            <v>888888</v>
          </cell>
          <cell r="E28" t="str">
            <v>006017-คุณอาทิตยาUnclaim-ค่าโซดาไฟ,แปรงซักผ้า</v>
          </cell>
          <cell r="F28">
            <v>7.46</v>
          </cell>
        </row>
        <row r="29">
          <cell r="C29" t="str">
            <v>00064-60900000</v>
          </cell>
          <cell r="D29">
            <v>999999</v>
          </cell>
          <cell r="E29" t="str">
            <v>006017-คุณอาทิตยา-ค่าเครื่องดื่ม,กาแฟ,ครีม,น้ำตาล</v>
          </cell>
          <cell r="F29">
            <v>1712.62</v>
          </cell>
        </row>
        <row r="30">
          <cell r="C30" t="str">
            <v>00064-60900000</v>
          </cell>
          <cell r="D30">
            <v>888888</v>
          </cell>
          <cell r="E30" t="str">
            <v>006017-คุณอาทิตยา-Unclaimค่าเครื่องดื่ม,กาแฟ,ครีม,น้ำตาล</v>
          </cell>
          <cell r="F30">
            <v>119.88</v>
          </cell>
        </row>
        <row r="31">
          <cell r="C31" t="str">
            <v>00064-61420000</v>
          </cell>
          <cell r="D31">
            <v>999999</v>
          </cell>
          <cell r="E31" t="str">
            <v>006017-คุณชวลิต-ค่าส่งจดหมาย  EMS 3 ชิ้น</v>
          </cell>
          <cell r="F31">
            <v>81</v>
          </cell>
        </row>
        <row r="32">
          <cell r="C32" t="str">
            <v>00064-63050000</v>
          </cell>
          <cell r="D32">
            <v>999999</v>
          </cell>
          <cell r="E32" t="str">
            <v>006017-คุณรัตนา-ค่าซักผ้าห้องพยาบาล 05/05</v>
          </cell>
          <cell r="F32">
            <v>400</v>
          </cell>
        </row>
        <row r="33">
          <cell r="C33" t="str">
            <v>00046-61915000</v>
          </cell>
          <cell r="D33">
            <v>999999</v>
          </cell>
          <cell r="E33" t="str">
            <v>006017-คุณวรพล-ค่าแบตเตอรี่รถทะเบียน วณ.540</v>
          </cell>
          <cell r="F33">
            <v>1650</v>
          </cell>
        </row>
        <row r="34">
          <cell r="C34" t="str">
            <v>00046-61805050</v>
          </cell>
          <cell r="D34">
            <v>999999</v>
          </cell>
          <cell r="E34" t="str">
            <v>006017-คุณวรพล-ค่าภาษีสนามบิน</v>
          </cell>
          <cell r="F34">
            <v>300</v>
          </cell>
        </row>
        <row r="35">
          <cell r="C35" t="str">
            <v>00064-61420000</v>
          </cell>
          <cell r="D35">
            <v>999999</v>
          </cell>
          <cell r="E35" t="str">
            <v>006017-คุณชวลิต-ค่าส่งจดหมายลงทะเบียน, EMS</v>
          </cell>
          <cell r="F35">
            <v>425</v>
          </cell>
        </row>
        <row r="36">
          <cell r="C36" t="str">
            <v>00064-61420000</v>
          </cell>
          <cell r="D36">
            <v>999999</v>
          </cell>
          <cell r="E36" t="str">
            <v>006017-คุณชวลิต-ค่าส่งจดหมายลงทะเบียน, EMS</v>
          </cell>
          <cell r="F36">
            <v>218</v>
          </cell>
        </row>
        <row r="37">
          <cell r="C37" t="str">
            <v>00064-60900000</v>
          </cell>
          <cell r="D37">
            <v>999999</v>
          </cell>
          <cell r="E37" t="str">
            <v>006017-คุณนันทิมา-ค่าตัดสติกเกอร์หน้าห้องคุณจิระนันท์</v>
          </cell>
          <cell r="F37">
            <v>250</v>
          </cell>
        </row>
        <row r="38">
          <cell r="C38" t="str">
            <v>45110-11630060</v>
          </cell>
          <cell r="D38">
            <v>999999</v>
          </cell>
          <cell r="E38" t="str">
            <v>006017-015/0704-หมื่นสัจจา</v>
          </cell>
          <cell r="F38">
            <v>17.5</v>
          </cell>
        </row>
        <row r="39">
          <cell r="C39" t="str">
            <v>00064-62000000</v>
          </cell>
          <cell r="D39">
            <v>999999</v>
          </cell>
          <cell r="E39" t="str">
            <v>006017-คุณนันทิมา-ค่าคูปองจอดรถ</v>
          </cell>
          <cell r="F39">
            <v>4673.09</v>
          </cell>
        </row>
        <row r="40">
          <cell r="C40" t="str">
            <v>45110-11630060</v>
          </cell>
          <cell r="D40">
            <v>999999</v>
          </cell>
          <cell r="E40" t="str">
            <v>006017-80531636-เซ็นทรัลพัฒนา</v>
          </cell>
          <cell r="F40">
            <v>327.10000000000002</v>
          </cell>
        </row>
        <row r="41">
          <cell r="C41" t="str">
            <v>99999-11615000</v>
          </cell>
          <cell r="D41">
            <v>999999</v>
          </cell>
          <cell r="E41" t="str">
            <v>006017-160/7730-เซ็นทรัลพัฒนา</v>
          </cell>
          <cell r="F41">
            <v>-140.19</v>
          </cell>
        </row>
        <row r="42">
          <cell r="C42" t="str">
            <v>00064-61420000</v>
          </cell>
          <cell r="D42">
            <v>999999</v>
          </cell>
          <cell r="E42" t="str">
            <v>006017-คุณชวลิต-ค่าส่งจดหมาย EMS 3 ชิ้น</v>
          </cell>
          <cell r="F42">
            <v>41</v>
          </cell>
        </row>
        <row r="43">
          <cell r="C43" t="str">
            <v>99999-11610760</v>
          </cell>
          <cell r="D43">
            <v>999999</v>
          </cell>
          <cell r="E43" t="str">
            <v>006017-คุณนันทิมา-ค่าต่อทะเบียนรถ คุณอธิป ทะเบียน ภอ-2230 (06/05-05/06)</v>
          </cell>
          <cell r="F43">
            <v>3279</v>
          </cell>
        </row>
        <row r="44">
          <cell r="C44" t="str">
            <v>82200-62000000</v>
          </cell>
          <cell r="D44">
            <v>999999</v>
          </cell>
          <cell r="E44" t="str">
            <v>006018-คุณกฤษณา-ค่ารถไปสาขา DC ,ไป Nestle วันที่ 17-18/05/05  สาขา DC</v>
          </cell>
          <cell r="F44">
            <v>570</v>
          </cell>
        </row>
        <row r="45">
          <cell r="C45" t="str">
            <v>00018-62000000</v>
          </cell>
          <cell r="D45">
            <v>999999</v>
          </cell>
          <cell r="E45" t="str">
            <v>006019-คุณสายรุ้ง-ค่ารถจากเซ็นทรัลลาดพร้าว ไปคาร์ฟูรืลาดพร้าว ฟู้ดส์แลนด์ลาดพร้าว เดอะมอลล์บางกระปิ คาร์ฟูร์สุขาภิบาล</v>
          </cell>
          <cell r="F45">
            <v>240</v>
          </cell>
        </row>
        <row r="46">
          <cell r="C46" t="str">
            <v>00015-62000000</v>
          </cell>
          <cell r="D46">
            <v>999999</v>
          </cell>
          <cell r="E46" t="str">
            <v>006020-คุณจิราวรรณ-ค่ารถไฟฟ้า ค่ารถแท็กซี่</v>
          </cell>
          <cell r="F46">
            <v>200</v>
          </cell>
        </row>
        <row r="47">
          <cell r="C47" t="str">
            <v>00015-62000000</v>
          </cell>
          <cell r="D47">
            <v>999999</v>
          </cell>
          <cell r="E47" t="str">
            <v>006021-คุณละอองดาว -ค่ารถไฟฟ้าและค่ารถแท็กซี่ จากศูนย์วัฒนธรรม ไปทองหล่อ ศาลาแดง ลาดพร้าว สุขุมวิท ดอนเมือง คลองเตย</v>
          </cell>
          <cell r="F47">
            <v>720</v>
          </cell>
        </row>
        <row r="48">
          <cell r="C48" t="str">
            <v>00015-62000000</v>
          </cell>
          <cell r="D48">
            <v>999999</v>
          </cell>
          <cell r="E48" t="str">
            <v>006022-คุณจิราวรรณ-ค่ารถแท็กซี่ ค่ารถไฟฟ้า ปฏิบัติงานอาหารสด</v>
          </cell>
          <cell r="F48">
            <v>45</v>
          </cell>
        </row>
        <row r="49">
          <cell r="C49" t="str">
            <v>00015-60900000</v>
          </cell>
          <cell r="D49">
            <v>999999</v>
          </cell>
          <cell r="E49" t="str">
            <v>006022-คุณจิราวรรณ-ค่าล้างอัดรูป</v>
          </cell>
          <cell r="F49">
            <v>260.73</v>
          </cell>
        </row>
        <row r="50">
          <cell r="C50" t="str">
            <v>45110-11630060</v>
          </cell>
          <cell r="D50">
            <v>999999</v>
          </cell>
          <cell r="E50" t="str">
            <v>006022-คุณจิราวรรณ-046/2299-จักรวาลโฟโต้ดิจิตอล</v>
          </cell>
          <cell r="F50">
            <v>18.27</v>
          </cell>
        </row>
        <row r="51">
          <cell r="C51" t="str">
            <v>99999-11630251</v>
          </cell>
          <cell r="D51" t="str">
            <v>040123</v>
          </cell>
          <cell r="E51" t="str">
            <v>1/6/2005-#4813</v>
          </cell>
          <cell r="F51">
            <v>26904</v>
          </cell>
        </row>
        <row r="54">
          <cell r="C54" t="str">
            <v>82200-62000000</v>
          </cell>
          <cell r="D54">
            <v>999999</v>
          </cell>
          <cell r="E54" t="str">
            <v>006023-คุณศิวาพร-ค่ารถไปสาขา DC,FDC ไป Meeting วันที่06,11,19,25,26,31/05/05 สาขา DC</v>
          </cell>
          <cell r="F54">
            <v>1740</v>
          </cell>
        </row>
        <row r="55">
          <cell r="C55" t="str">
            <v>31612-62000000</v>
          </cell>
          <cell r="D55">
            <v>999999</v>
          </cell>
          <cell r="E55" t="str">
            <v>006024-คุณแคทลียา-ค่ารถไปกระทรวงสาธารณสุข,สถานฑูตอังกฤษ ยื่นเอกสารขอเลขสารบบ</v>
          </cell>
          <cell r="F55">
            <v>270</v>
          </cell>
        </row>
        <row r="56">
          <cell r="C56" t="str">
            <v>00045-61420000</v>
          </cell>
          <cell r="D56">
            <v>999999</v>
          </cell>
          <cell r="E56" t="str">
            <v>006001-คุณมลฤดี-ค่ารถไปส่งเอกสารเพื่อวางบิลร้านค้าบจ.เพาเวอร์บาย</v>
          </cell>
          <cell r="F56">
            <v>69</v>
          </cell>
        </row>
        <row r="57">
          <cell r="C57" t="str">
            <v>00042-62000000</v>
          </cell>
          <cell r="D57">
            <v>999999</v>
          </cell>
          <cell r="E57" t="str">
            <v>006025-คุณเมธินี-ค่ารถไปกลับขนส่งสายใต้,ค่ารถไปสรรพกากรราชบุรี,ค่ารถไปสรรพากรจังหวัดนนทบุรี,ค่ารถไปกลับสรรพากรใหญ่,ค่ารถไปอบรมภาษีอากรที่สีลมบางรัก วันที่19,25,30-31/05/05</v>
          </cell>
          <cell r="F57">
            <v>565</v>
          </cell>
        </row>
        <row r="58">
          <cell r="C58" t="str">
            <v>00042-62000000</v>
          </cell>
          <cell r="D58">
            <v>999999</v>
          </cell>
          <cell r="E58" t="str">
            <v>006026-คุณเมธินี-ค่ารถไปกลับขนส่งสายใต้,ค่ารถจากขนส่ง-สรรพากรจังหวัด</v>
          </cell>
          <cell r="F58">
            <v>225</v>
          </cell>
        </row>
        <row r="59">
          <cell r="C59" t="str">
            <v>00042-61805050</v>
          </cell>
          <cell r="D59">
            <v>999999</v>
          </cell>
          <cell r="E59" t="str">
            <v>006026-คุณเมธินี-ค่ารถไปกลับจังหวัดราชบุรี วันที่ 30/05/05</v>
          </cell>
          <cell r="F59">
            <v>144</v>
          </cell>
        </row>
        <row r="60">
          <cell r="C60" t="str">
            <v>00025-62000000</v>
          </cell>
          <cell r="D60">
            <v>999999</v>
          </cell>
          <cell r="E60" t="str">
            <v>006027-คุณกิตติพงษ์-ค่ารถไปอิสรภาพ,พรานนก,พุทธมณฑล,ตลิ่งชัน,นวมินทร์,สุขสวัสดิ์,ประชาอุทิศ,ปิ่นเกล้า,ลาดพร้าว ไป Cleek List ระบบสัญญาณ EAS และการปฏิบัติหน้าที่ของ รปภ.</v>
          </cell>
          <cell r="F60">
            <v>400</v>
          </cell>
        </row>
        <row r="61">
          <cell r="C61" t="str">
            <v>00042-62000000</v>
          </cell>
          <cell r="D61">
            <v>999999</v>
          </cell>
          <cell r="E61" t="str">
            <v>006028-คุณวรางคณา-ค่ารถไปกรมสรรพากรเพื่อยื่นขอหักณ.ที่จ่ายฉบับภาษาอังกฤษ วันที่ 01/06/05</v>
          </cell>
          <cell r="F61">
            <v>35</v>
          </cell>
        </row>
        <row r="62">
          <cell r="C62" t="str">
            <v>00012-62000000</v>
          </cell>
          <cell r="D62">
            <v>999999</v>
          </cell>
          <cell r="E62" t="str">
            <v>006029-คุณวิลาวัณย์-ค่ารถไปกลับสาขาทองหล่อ,ชิดลม เพื่อเช็คพลาโนแกรม สำหรับจัดเรียงสินค้า วันที่ 01/06/05</v>
          </cell>
          <cell r="F62">
            <v>375</v>
          </cell>
        </row>
        <row r="63">
          <cell r="C63" t="str">
            <v>00042-62000000</v>
          </cell>
          <cell r="D63">
            <v>999999</v>
          </cell>
          <cell r="E63" t="str">
            <v>006030-คุณนภาพร-ค่ารถไปสาขาเซียร์รังสิต,เทศบาลเมืองคูคต จดขนาดป้าย,ยื่นแบบการชำระภาษีป้าย 01/06/05</v>
          </cell>
          <cell r="F63">
            <v>250</v>
          </cell>
        </row>
        <row r="64">
          <cell r="C64" t="str">
            <v>00072-62000000</v>
          </cell>
          <cell r="D64">
            <v>999999</v>
          </cell>
          <cell r="E64" t="str">
            <v>006031-คุณสมบูรณ์-ค่ารถไปสาขาจรัญสนิทวงศ์ วันที่ 02/06/05</v>
          </cell>
          <cell r="F64">
            <v>310</v>
          </cell>
        </row>
        <row r="65">
          <cell r="C65" t="str">
            <v>00072-62000000</v>
          </cell>
          <cell r="D65">
            <v>999999</v>
          </cell>
          <cell r="E65" t="str">
            <v>006032-คุณเวียง-ค่ารถไปคุมงานที่สาขาเซียร์รังสิต วันที่29/04-24/05/05</v>
          </cell>
          <cell r="F65">
            <v>2080</v>
          </cell>
        </row>
        <row r="66">
          <cell r="C66" t="str">
            <v>00072-62000000</v>
          </cell>
          <cell r="D66">
            <v>999999</v>
          </cell>
          <cell r="E66" t="str">
            <v>006033-คุณเวียง-ค่ารถไปคุมงานที่สาขาเซียร์รังสิต วันที่04/04-28/04/05</v>
          </cell>
          <cell r="F66">
            <v>2920</v>
          </cell>
        </row>
        <row r="67">
          <cell r="C67" t="str">
            <v>00072-62000000</v>
          </cell>
          <cell r="D67">
            <v>999999</v>
          </cell>
          <cell r="E67" t="str">
            <v>006034-คุณอดิสรณ์-ค่ารถไปกลับพระราม 3- นนทบุรี</v>
          </cell>
          <cell r="F67">
            <v>1640</v>
          </cell>
        </row>
        <row r="68">
          <cell r="C68" t="str">
            <v>00072-62000000</v>
          </cell>
          <cell r="D68">
            <v>999999</v>
          </cell>
          <cell r="E68" t="str">
            <v>006035-คุณอดิสรณ์-ค่ารถไปกลับพระราม 3- นนทบุรี</v>
          </cell>
          <cell r="F68">
            <v>2200</v>
          </cell>
        </row>
        <row r="69">
          <cell r="C69" t="str">
            <v>00047-60144110</v>
          </cell>
          <cell r="D69">
            <v>999999</v>
          </cell>
          <cell r="E69" t="str">
            <v>006036-คุณทศพร-ค่าซื้อสินค้าในการสอนงาน DMT&amp;SMT</v>
          </cell>
          <cell r="F69">
            <v>310</v>
          </cell>
        </row>
        <row r="70">
          <cell r="C70" t="str">
            <v>00063-60144110</v>
          </cell>
          <cell r="D70">
            <v>999999</v>
          </cell>
          <cell r="E70" t="str">
            <v>006037-คุณอรวรรณ-ค่ารถในการช่วยประสานงานการจัดอบรม</v>
          </cell>
          <cell r="F70">
            <v>110</v>
          </cell>
        </row>
        <row r="71">
          <cell r="C71" t="str">
            <v>00063-60144110</v>
          </cell>
          <cell r="D71">
            <v>999999</v>
          </cell>
          <cell r="E71" t="str">
            <v>006037-คุณอรวรรณ-ค่าป้ายพลาสติกสำหรับติดอกเสื้อ DVT 2 รุ่น</v>
          </cell>
          <cell r="F71">
            <v>398</v>
          </cell>
        </row>
        <row r="72">
          <cell r="C72" t="str">
            <v>00063-63040000</v>
          </cell>
          <cell r="D72">
            <v>999999</v>
          </cell>
          <cell r="E72" t="str">
            <v>006037-คุณอรวรรณ-ค่านิตยสารเข้าห้องสมุดประจำเดือน 05/05</v>
          </cell>
          <cell r="F72">
            <v>171</v>
          </cell>
        </row>
        <row r="73">
          <cell r="C73" t="str">
            <v>00063-60144110</v>
          </cell>
          <cell r="D73">
            <v>999999</v>
          </cell>
          <cell r="E73" t="str">
            <v>006037-คุณอรวรรณ-ค่าล้างอัดรูปสำหรับทำ Tops New</v>
          </cell>
          <cell r="F73">
            <v>134</v>
          </cell>
        </row>
        <row r="74">
          <cell r="C74" t="str">
            <v>99999-11630251</v>
          </cell>
          <cell r="D74" t="str">
            <v>040123</v>
          </cell>
          <cell r="E74" t="str">
            <v>2/6/2005-#4981</v>
          </cell>
          <cell r="F74">
            <v>14346</v>
          </cell>
        </row>
        <row r="77">
          <cell r="C77" t="str">
            <v>00015-62000000</v>
          </cell>
          <cell r="D77">
            <v>999999</v>
          </cell>
          <cell r="E77" t="str">
            <v>006038-คุณรุ่งทิวา-ค่ารถไปสาขานวมินทร์เพื่อถ่ายรูปแก้ไข,ค่ารถไปเซียร์รังสิตเพื่อสำรวจสาขาและใช้เอกสารประกอบในการยื่นขอใบอนุญาต</v>
          </cell>
          <cell r="F77">
            <v>270</v>
          </cell>
        </row>
        <row r="78">
          <cell r="C78" t="str">
            <v>00043-61420000</v>
          </cell>
          <cell r="D78">
            <v>999999</v>
          </cell>
          <cell r="E78" t="str">
            <v>006039-คุณศิริกุล-ค่ารถจาก DC มาสนญ.เพื่อนำส่งเอกสารในการปิด Period 05/05</v>
          </cell>
          <cell r="F78">
            <v>250</v>
          </cell>
        </row>
        <row r="79">
          <cell r="C79" t="str">
            <v>00015-60900000</v>
          </cell>
          <cell r="D79">
            <v>999999</v>
          </cell>
          <cell r="E79" t="str">
            <v>006040-คุณสมพร-ค่าล้างอัดรูปทำคู่มืออาหารสด</v>
          </cell>
          <cell r="F79">
            <v>231.78</v>
          </cell>
        </row>
        <row r="80">
          <cell r="C80" t="str">
            <v>45110-11630060</v>
          </cell>
          <cell r="D80">
            <v>999999</v>
          </cell>
          <cell r="E80" t="str">
            <v>006040-S.vatบจก.โฟโต้ฮัทเทรดดิ้ง#763/38122ค่าล้างอัดรูป</v>
          </cell>
          <cell r="F80">
            <v>16.22</v>
          </cell>
        </row>
        <row r="81">
          <cell r="C81" t="str">
            <v>00024-62000000</v>
          </cell>
          <cell r="D81">
            <v>999999</v>
          </cell>
          <cell r="E81" t="str">
            <v>006041-คุณธนิศรา-ค่ารถแท็กซี่จากสำนักงานใหญ่พระราม3 ราชวิถี ไปกาลับ</v>
          </cell>
          <cell r="F81">
            <v>386</v>
          </cell>
        </row>
        <row r="82">
          <cell r="C82" t="str">
            <v>00016-62000000</v>
          </cell>
          <cell r="D82">
            <v>999999</v>
          </cell>
          <cell r="E82" t="str">
            <v>006042-คุณรถไปคาร์ฟรูลาดพร้าว,เดอะมอลล์บางกะปิ,สุขาภิบาล 3 ,แฟชั่นไอซ์แลนด์ วันที่ 01/06/05</v>
          </cell>
          <cell r="F82">
            <v>294</v>
          </cell>
        </row>
        <row r="83">
          <cell r="C83" t="str">
            <v>00024-60141250</v>
          </cell>
          <cell r="D83">
            <v>999999</v>
          </cell>
          <cell r="E83" t="str">
            <v>006043-คุณชวนพิศ-ค่ารักษาพยาบาล รพ.สินแพทย์ วันที่ 31/05/05</v>
          </cell>
          <cell r="F83">
            <v>280</v>
          </cell>
        </row>
        <row r="84">
          <cell r="C84" t="str">
            <v>00024-60141250</v>
          </cell>
          <cell r="D84">
            <v>999999</v>
          </cell>
          <cell r="E84" t="str">
            <v>006044-คุณธนิศรา-ค่ารักษาพยาบาล รพ.พร้อมแพทย์ วันที่ 30/05/05</v>
          </cell>
          <cell r="F84">
            <v>400</v>
          </cell>
        </row>
        <row r="85">
          <cell r="C85" t="str">
            <v>00054-62000000</v>
          </cell>
          <cell r="D85">
            <v>999999</v>
          </cell>
          <cell r="E85" t="str">
            <v>006045-คุณน้ำอ้อย-ค่ารถไปโลตัสแจ้งวัฒนะ,เดอะมอลล์งามวงศ์วาน,คาร์ฟูร์งามวงศ์วาน,ฟู้ดแลนด์รามอินทรา ไปสำรวจราคาคู่แข่งขัน</v>
          </cell>
          <cell r="F85">
            <v>556</v>
          </cell>
        </row>
        <row r="86">
          <cell r="C86" t="str">
            <v>00072-61705150</v>
          </cell>
          <cell r="D86">
            <v>999999</v>
          </cell>
          <cell r="E86" t="str">
            <v>006046-คุณละเอียด-โฟสท์อิทสำหรัลติดเอกสารเพื่อผู้บริหารอนุมัติค่ะ</v>
          </cell>
          <cell r="F86">
            <v>63.79</v>
          </cell>
        </row>
        <row r="87">
          <cell r="C87" t="str">
            <v>45110-11630060</v>
          </cell>
          <cell r="D87">
            <v>999999</v>
          </cell>
          <cell r="E87" t="str">
            <v>006046-8167788-BTS</v>
          </cell>
          <cell r="F87">
            <v>4.46</v>
          </cell>
        </row>
        <row r="88">
          <cell r="C88" t="str">
            <v>00004-62000000</v>
          </cell>
          <cell r="D88">
            <v>999999</v>
          </cell>
          <cell r="E88" t="str">
            <v>006047-รถจากลาดพร้าวไป-กลับศึกษาภัณฑ์วันที่1/6/48</v>
          </cell>
          <cell r="F88">
            <v>200</v>
          </cell>
        </row>
        <row r="89">
          <cell r="C89" t="str">
            <v>00004-61100000</v>
          </cell>
          <cell r="D89">
            <v>999999</v>
          </cell>
          <cell r="E89" t="str">
            <v>006047-มัลลิกา-ค่ากระดาษ PHFIX-14ชุดทดสอบ</v>
          </cell>
          <cell r="F89">
            <v>364.49</v>
          </cell>
        </row>
        <row r="90">
          <cell r="C90" t="str">
            <v>00004-61100000</v>
          </cell>
          <cell r="D90">
            <v>999999</v>
          </cell>
          <cell r="E90" t="str">
            <v>006047-คุณมัลลิกา-อาหารสุนัขตราท็อปส์,ถุงขยะสีดำตราท็อปส์ ชุดทดสอบ Product Testing</v>
          </cell>
          <cell r="F90">
            <v>133.24</v>
          </cell>
        </row>
        <row r="91">
          <cell r="C91" t="str">
            <v>00004-61100000</v>
          </cell>
          <cell r="D91">
            <v>888888</v>
          </cell>
          <cell r="E91" t="str">
            <v>006047-คุณมัลลิกา-Unclaimอาหารสุนัขตราท็อปส์,ถุงขยะสีดำตราท็อปส์ ชุดทดสอบ Product Testing</v>
          </cell>
          <cell r="F91">
            <v>6.01</v>
          </cell>
        </row>
        <row r="92">
          <cell r="C92" t="str">
            <v>00015-63050000</v>
          </cell>
          <cell r="D92">
            <v>999999</v>
          </cell>
          <cell r="E92" t="str">
            <v>006048-คุณจารถณี-ค่าอาหารและเครื่องดื่มระหว่างการดูผัพื้นบ้าน ณสวนดอกเตอร์ วันที่2/6/48</v>
          </cell>
          <cell r="F92">
            <v>740</v>
          </cell>
        </row>
        <row r="93">
          <cell r="C93" t="str">
            <v>00015-63050000</v>
          </cell>
          <cell r="D93">
            <v>999999</v>
          </cell>
          <cell r="E93" t="str">
            <v>006049-คุณจารุณี-ค่าอาหารดูผัพื้นบ้าน ณสวนดอกเตอร์ วันที่2/6/48</v>
          </cell>
          <cell r="F93">
            <v>840</v>
          </cell>
        </row>
        <row r="94">
          <cell r="C94" t="str">
            <v>00015-60144110</v>
          </cell>
          <cell r="D94">
            <v>999999</v>
          </cell>
          <cell r="E94" t="str">
            <v>006050-คุณชรัช-ค่าอาหารว่างในการอบรมพนักงานสาขาแผนกซีฟู๊ด24-25/5/48</v>
          </cell>
          <cell r="F94">
            <v>1148.1300000000001</v>
          </cell>
        </row>
        <row r="95">
          <cell r="C95" t="str">
            <v>00015-60144110</v>
          </cell>
          <cell r="D95">
            <v>888888</v>
          </cell>
          <cell r="E95" t="str">
            <v>006050-Unclaimอาหารว่างในการอบรมพนักงานสาขาแผนกซีฟู๊ด</v>
          </cell>
          <cell r="F95">
            <v>80.37</v>
          </cell>
        </row>
        <row r="96">
          <cell r="C96" t="str">
            <v>00095-62000000</v>
          </cell>
          <cell r="D96">
            <v>999999</v>
          </cell>
          <cell r="E96" t="str">
            <v>006051-คุณจีระศักดิ์-ค่ารถจากสำนักงานไปปิยรมย์.นางลิ้นจี่ สุขุมวิท19 เซียร์เพื่อไปReinstallpra, window98</v>
          </cell>
          <cell r="F96">
            <v>926</v>
          </cell>
        </row>
        <row r="97">
          <cell r="C97" t="str">
            <v>00054-60141250</v>
          </cell>
          <cell r="D97">
            <v>999999</v>
          </cell>
          <cell r="E97" t="str">
            <v>006052-คุณอุมาพร-ค่ารักษาพยาบาลรพ.วิภาวดีวันที่31/5/48</v>
          </cell>
          <cell r="F97">
            <v>808</v>
          </cell>
        </row>
        <row r="98">
          <cell r="C98" t="str">
            <v>00054-60141250</v>
          </cell>
          <cell r="D98">
            <v>999999</v>
          </cell>
          <cell r="E98" t="str">
            <v>006053-คุณนภาวรรณ-ค่ารักษาพยาบาลรพ.วิภาวดีวันที่1/6/48</v>
          </cell>
          <cell r="F98">
            <v>1226</v>
          </cell>
        </row>
        <row r="99">
          <cell r="C99" t="str">
            <v>45110-11630060</v>
          </cell>
          <cell r="D99">
            <v>999999</v>
          </cell>
          <cell r="E99" t="str">
            <v>006047-S.vatศึกษาภัณฑ์#48019228</v>
          </cell>
          <cell r="F99">
            <v>25.51</v>
          </cell>
        </row>
        <row r="100">
          <cell r="C100" t="str">
            <v>00072-62000000</v>
          </cell>
          <cell r="D100">
            <v>999999</v>
          </cell>
          <cell r="E100" t="str">
            <v>006054-คุณสุนทร-ค่ารถจากสุขาภิบาล2-ไปสายไหมเช็คงานโครงสร้างอาคารจากลาดพร้าวไปเซียรืไปรัตนาธิเบศน์เพื่อตรวจซุ้มทางเข้าวันที่25,30-31/5/48</v>
          </cell>
          <cell r="F100">
            <v>940</v>
          </cell>
        </row>
        <row r="101">
          <cell r="C101" t="str">
            <v>00015-61100000</v>
          </cell>
          <cell r="D101">
            <v>999999</v>
          </cell>
          <cell r="E101" t="str">
            <v>006055-คุณกุลจิรา-ค่าสินค้าตัวอย่างเพื่อR/Dขนมศิลปาชีพ</v>
          </cell>
          <cell r="F101">
            <v>339</v>
          </cell>
        </row>
        <row r="102">
          <cell r="C102" t="str">
            <v>00015-61705150</v>
          </cell>
          <cell r="D102">
            <v>999999</v>
          </cell>
          <cell r="E102" t="str">
            <v>006055-คุณกุลจิรา-ค่าหนังสือครัวเพื่อค้นหาสูตรอาหาร</v>
          </cell>
          <cell r="F102">
            <v>332.46</v>
          </cell>
        </row>
        <row r="103">
          <cell r="C103" t="str">
            <v>00015-61705150</v>
          </cell>
          <cell r="D103">
            <v>999999</v>
          </cell>
          <cell r="E103" t="str">
            <v>006055-คุณกุลจิรา-ค่าปากกา สมุด</v>
          </cell>
          <cell r="F103">
            <v>150.5</v>
          </cell>
        </row>
        <row r="104">
          <cell r="C104" t="str">
            <v>45110-11630060</v>
          </cell>
          <cell r="D104">
            <v>999999</v>
          </cell>
          <cell r="E104" t="str">
            <v>006055-คุรกุลจิรา-S.vatบจก.บีทูเอส#81678101</v>
          </cell>
          <cell r="F104">
            <v>10.54</v>
          </cell>
        </row>
        <row r="105">
          <cell r="C105" t="str">
            <v>00015-62000000</v>
          </cell>
          <cell r="D105">
            <v>999999</v>
          </cell>
          <cell r="E105" t="str">
            <v>006056-คุณเกยูร-ค่ารถจากมีนบุรีไปสนามบินดอนเมือง</v>
          </cell>
          <cell r="F105">
            <v>500</v>
          </cell>
        </row>
        <row r="106">
          <cell r="C106" t="str">
            <v>00015-61805050</v>
          </cell>
          <cell r="D106">
            <v>999999</v>
          </cell>
          <cell r="E106" t="str">
            <v>006056-คุณเกยุร-ค่ารถจากสนามบินฮองกงไปที่พักวันที่12/5/48 180*5.12</v>
          </cell>
          <cell r="F106">
            <v>921.5</v>
          </cell>
        </row>
        <row r="107">
          <cell r="C107" t="str">
            <v>00015-60141550</v>
          </cell>
          <cell r="D107">
            <v>999999</v>
          </cell>
          <cell r="E107" t="str">
            <v>006057-คุณชุติมา-ค่าเยี่ยมไข้พนักงานวันที่2/6/48</v>
          </cell>
          <cell r="F107">
            <v>365.46</v>
          </cell>
        </row>
        <row r="108">
          <cell r="C108" t="str">
            <v>00003-62000000</v>
          </cell>
          <cell r="D108">
            <v>999999</v>
          </cell>
          <cell r="E108" t="str">
            <v>006058-คุณปัญญา-ค่ารถจากสุขาภิบาล3-LCเพื่อซ้อมหนีไฟวันที่2/6/48</v>
          </cell>
          <cell r="F108">
            <v>200</v>
          </cell>
        </row>
        <row r="109">
          <cell r="C109" t="str">
            <v>00003-62000000</v>
          </cell>
          <cell r="D109">
            <v>999999</v>
          </cell>
          <cell r="E109" t="str">
            <v>006059-คุณรังศรี-ค่ารถจากสุทธิสารไปสาขาLCเพื่อซ้อมหนีไฟวันที่2/6/48</v>
          </cell>
          <cell r="F109">
            <v>90</v>
          </cell>
        </row>
        <row r="110">
          <cell r="C110" t="str">
            <v>00015-60141550</v>
          </cell>
          <cell r="D110">
            <v>888888</v>
          </cell>
          <cell r="E110" t="str">
            <v>006057-คุณชุติมา-Unclaimค่าเยี่ยมไข้พนักงานวันที่2/6/48</v>
          </cell>
          <cell r="F110">
            <v>3.04</v>
          </cell>
        </row>
        <row r="111">
          <cell r="C111" t="str">
            <v>99999-11630251</v>
          </cell>
          <cell r="D111" t="str">
            <v>040123</v>
          </cell>
          <cell r="E111" t="str">
            <v>3/6/2005-#4985</v>
          </cell>
          <cell r="F111">
            <v>13102.5</v>
          </cell>
        </row>
        <row r="114">
          <cell r="C114" t="str">
            <v>00041-62000000</v>
          </cell>
          <cell r="D114">
            <v>999999</v>
          </cell>
          <cell r="E114" t="str">
            <v>006060-คุณวราภรณ์-ค่ารถไปประชุมบริษัทFriend Logistios วันที่26/5/48</v>
          </cell>
          <cell r="F114">
            <v>200</v>
          </cell>
        </row>
        <row r="115">
          <cell r="C115" t="str">
            <v>00041-62920000</v>
          </cell>
          <cell r="D115">
            <v>999999</v>
          </cell>
          <cell r="E115" t="str">
            <v>006061-คุณวราภรณ์-ค่ารถไปขอโอนสิทธฺเช่ารที่รังสิตไปติดติ่ที่ดินจ.ปทุมและไปเทศบาลเมืองรังสิตวันที่27/5/48</v>
          </cell>
          <cell r="F115">
            <v>710</v>
          </cell>
        </row>
        <row r="116">
          <cell r="C116" t="str">
            <v>00041-62920000</v>
          </cell>
          <cell r="D116">
            <v>999999</v>
          </cell>
          <cell r="E116" t="str">
            <v>006061-คุณวราภรณ์-ค่าใบรับพยานและค่าปิดประกาศที่ว่าการอธัญบุรีค่าอการแสตมป์และค่าธรรมเนียม</v>
          </cell>
          <cell r="F116">
            <v>14</v>
          </cell>
        </row>
        <row r="117">
          <cell r="C117" t="str">
            <v>00041-62000000</v>
          </cell>
          <cell r="D117">
            <v>999999</v>
          </cell>
          <cell r="E117" t="str">
            <v>006062-คุณวราภรณ์-ค่ารรถไปคัดเอกสารที่ อบจ.4ของบริษัทในเครือ</v>
          </cell>
          <cell r="F117">
            <v>150</v>
          </cell>
        </row>
        <row r="118">
          <cell r="C118" t="str">
            <v>00041-62920000</v>
          </cell>
          <cell r="D118">
            <v>999999</v>
          </cell>
          <cell r="E118" t="str">
            <v>006062-คุณวราภรณื-ค่าธรรมเนียมคัดลอกรับรองเอกสาร</v>
          </cell>
          <cell r="F118">
            <v>1160</v>
          </cell>
        </row>
        <row r="119">
          <cell r="C119" t="str">
            <v>00013-62000000</v>
          </cell>
          <cell r="D119">
            <v>999999</v>
          </cell>
          <cell r="E119" t="str">
            <v>006063-คุณจิตราภรณ์-ค่ารถไปตรวจงานเปิดสาขาใหม่สาขาริเวอร์พลาซ่าวันที่7/4/48</v>
          </cell>
          <cell r="F119">
            <v>180</v>
          </cell>
        </row>
        <row r="120">
          <cell r="C120" t="str">
            <v>00027-62000000</v>
          </cell>
          <cell r="D120">
            <v>999999</v>
          </cell>
          <cell r="E120" t="str">
            <v>006064-คุณเดือนเพ็ญ-ค่ารถไป-กลับสาขาลาดพร้าว-สรงประภาและสาขารัชดาไปสาขาสายไหมสาขาพรานนกเพื่อตรวจความพร้อมสาขา</v>
          </cell>
          <cell r="F120">
            <v>1011</v>
          </cell>
        </row>
        <row r="121">
          <cell r="C121" t="str">
            <v>00027-62000000</v>
          </cell>
          <cell r="D121">
            <v>999999</v>
          </cell>
          <cell r="E121" t="str">
            <v>006065-คุณเดือนเพ็ญ-ค่ารถไป-กลับสาขาลาดพร้าวไปสาขาบางนาเพื่อตรวจความพร้อมสาขาวันที่1/6/48</v>
          </cell>
          <cell r="F121">
            <v>476</v>
          </cell>
        </row>
        <row r="122">
          <cell r="C122" t="str">
            <v>00015-60141250</v>
          </cell>
          <cell r="D122">
            <v>999999</v>
          </cell>
          <cell r="E122" t="str">
            <v>006066-คุณสมพร-ค่ารักษาพยาบาลรพ.กรุงเทพวันที่27/5/48</v>
          </cell>
          <cell r="F122">
            <v>1385</v>
          </cell>
        </row>
        <row r="123">
          <cell r="C123" t="str">
            <v>00015-60141250</v>
          </cell>
          <cell r="D123">
            <v>999999</v>
          </cell>
          <cell r="E123" t="str">
            <v>006067-คุณจิราวรรณ-ค่ารักษาพยาบาลสถาบันทรวงอกวันที่2,16/5/48</v>
          </cell>
          <cell r="F123">
            <v>366</v>
          </cell>
        </row>
        <row r="124">
          <cell r="C124" t="str">
            <v>00004-62000000</v>
          </cell>
          <cell r="D124">
            <v>999999</v>
          </cell>
          <cell r="E124" t="str">
            <v>006068-คุณวรวรรณ-ค่ารถจากสำนักงานใหญ๋-ไป-กลัลสาขารังสิตสาขาปิ่นเกล้าและสาขารัชดาเพื่อตรวจเช็คระบบการผลิตวันที่2-3/6/48</v>
          </cell>
          <cell r="F124">
            <v>784</v>
          </cell>
        </row>
        <row r="125">
          <cell r="C125" t="str">
            <v>00024-62000000</v>
          </cell>
          <cell r="D125">
            <v>999999</v>
          </cell>
          <cell r="E125" t="str">
            <v>006069-คุณจิรภา-ค่ารถจากลาดร้าว-สาขาฟิวเจอร์ปาร์ครังสิตเพื่อเอาคูปองและทะเบียนร้านค้า และไปโลตัสรังสิตเพื่อServeคู่แข่ง,ไปสาขาท็อป์สาขารามอินทรา,ท็อป์สาขาแฟชั่นไอแลนด์เพื่อตรวจสาขา</v>
          </cell>
          <cell r="F125">
            <v>1079</v>
          </cell>
        </row>
        <row r="126">
          <cell r="C126" t="str">
            <v>00024-62000000</v>
          </cell>
          <cell r="D126">
            <v>999999</v>
          </cell>
          <cell r="E126" t="str">
            <v>006070-คุณสุมาลี-ค่ารถจากลาดพร้าวไปสุขุมวิท19</v>
          </cell>
          <cell r="F126">
            <v>270</v>
          </cell>
        </row>
        <row r="127">
          <cell r="C127" t="str">
            <v>00024-62000000</v>
          </cell>
          <cell r="D127">
            <v>999999</v>
          </cell>
          <cell r="E127" t="str">
            <v>006071-คุณสุมาลี-ค่ารถจากลาดพร้าวไปสาขาออซีซั่น.สาขาชิดลมเพื่อตรวจสาขาประจำสัปดาห์และค่ารถฟฟ้าBTSจากชิดลม-สถานีหมอชิตค่าแท็กซี่จากสถานีรถไฟฟ้ากลับลาดพร้าว</v>
          </cell>
          <cell r="F127">
            <v>271</v>
          </cell>
        </row>
        <row r="128">
          <cell r="C128" t="str">
            <v>00024-62000000</v>
          </cell>
          <cell r="D128">
            <v>999999</v>
          </cell>
          <cell r="E128" t="str">
            <v>006072-คุณชวนพิศ-ค่ารถจากลาดพร้าวไปกลับสาขาลาดหญ้าเพื่อตรวจเช็คพื้นที่ของร้านค้าวันที่2/6/48</v>
          </cell>
          <cell r="F128">
            <v>400</v>
          </cell>
        </row>
        <row r="129">
          <cell r="C129" t="str">
            <v>00024-62000000</v>
          </cell>
          <cell r="D129">
            <v>999999</v>
          </cell>
          <cell r="E129" t="str">
            <v>006073--คุณธนิศรา-ค่ารถจากHO-MKจากMK-RI,จากFL-HOเพื่อตรวจเยี่ยมสาขาวันที่2/6/48</v>
          </cell>
          <cell r="F129">
            <v>484</v>
          </cell>
        </row>
        <row r="130">
          <cell r="C130" t="str">
            <v>00024-62000000</v>
          </cell>
          <cell r="D130">
            <v>999999</v>
          </cell>
          <cell r="E130" t="str">
            <v>006074-คุณธริศรา-ค่ารถจากลาดพร้าวไปเดอะมออล์บางกะปิเพื่อดูแข่งวันที่3/6/48</v>
          </cell>
          <cell r="F130">
            <v>275</v>
          </cell>
        </row>
        <row r="131">
          <cell r="C131" t="str">
            <v>00024-62000000</v>
          </cell>
          <cell r="D131">
            <v>999999</v>
          </cell>
          <cell r="E131" t="str">
            <v>006075-คุณพรทิพย์-ค่ารถจากลาดพร้าวไป-กลับเมืองทองธานีและจากลาดพร้าวไปบางนาและจกาบางนาไปอ่อนนุชค่ารถไฟฟ้าBTSจากอ่อนนุชไปชิดลม,บางรักเพื่อตรวจเยี่ยมสาขา</v>
          </cell>
          <cell r="F131">
            <v>795</v>
          </cell>
        </row>
        <row r="132">
          <cell r="C132" t="str">
            <v>00017-61100000</v>
          </cell>
          <cell r="D132">
            <v>999999</v>
          </cell>
          <cell r="E132" t="str">
            <v>006076-คุณชัชภาพร-ค่าซื้อสินค้าเพื่อมาทดสอบ</v>
          </cell>
          <cell r="F132">
            <v>91.59</v>
          </cell>
        </row>
        <row r="133">
          <cell r="C133" t="str">
            <v>00017-61100000</v>
          </cell>
          <cell r="D133">
            <v>888888</v>
          </cell>
          <cell r="E133" t="str">
            <v>006076-Unclaimค่าซื้อสืนค้าทดสอบ</v>
          </cell>
          <cell r="F133">
            <v>6.41</v>
          </cell>
        </row>
        <row r="134">
          <cell r="C134" t="str">
            <v>00017-61100000</v>
          </cell>
          <cell r="D134">
            <v>999999</v>
          </cell>
          <cell r="E134" t="str">
            <v>0063077-คุณชัชฎาพรค่าส/คเพื่อการทดสอบ</v>
          </cell>
          <cell r="F134">
            <v>48.6</v>
          </cell>
        </row>
        <row r="135">
          <cell r="C135" t="str">
            <v>00017-61100000</v>
          </cell>
          <cell r="D135">
            <v>888888</v>
          </cell>
          <cell r="E135" t="str">
            <v>006077-Unclaimtค่าซื้อส/คเพื่อทดสอบ</v>
          </cell>
          <cell r="F135">
            <v>3.4</v>
          </cell>
        </row>
        <row r="136">
          <cell r="C136" t="str">
            <v>00017-62000000</v>
          </cell>
          <cell r="D136">
            <v>999999</v>
          </cell>
          <cell r="E136" t="str">
            <v>006077-คุณชัชาพร-ค่ารถไป-กลับรัชดา-สำนักงายใหญ่เพื่อตรวจสาขา</v>
          </cell>
          <cell r="F136">
            <v>119</v>
          </cell>
        </row>
        <row r="137">
          <cell r="C137" t="str">
            <v>00062-62920000</v>
          </cell>
          <cell r="D137">
            <v>999999</v>
          </cell>
          <cell r="E137" t="str">
            <v>006078/1-คุณชวลิต-ค่าอากรแสตมป์ดวงละ5*60</v>
          </cell>
          <cell r="F137">
            <v>300</v>
          </cell>
        </row>
        <row r="138">
          <cell r="C138" t="str">
            <v>00064-60900000</v>
          </cell>
          <cell r="D138">
            <v>999999</v>
          </cell>
          <cell r="E138" t="str">
            <v>006078/2-คุณนันทิมา-ค่าครีมเทียมสำหรับแม่บ้านชั้น6-7</v>
          </cell>
          <cell r="F138">
            <v>1283.4000000000001</v>
          </cell>
        </row>
        <row r="139">
          <cell r="C139" t="str">
            <v>00064-60900000</v>
          </cell>
          <cell r="D139">
            <v>888888</v>
          </cell>
          <cell r="E139" t="str">
            <v>006078/2-Unclaimบจก.กรไทย#110244881</v>
          </cell>
          <cell r="F139">
            <v>89.85</v>
          </cell>
        </row>
        <row r="140">
          <cell r="C140" t="str">
            <v>00064-62000000</v>
          </cell>
          <cell r="D140">
            <v>999999</v>
          </cell>
          <cell r="E140" t="str">
            <v>006078/3-คุณศราวุธ-ค่าจอดรถไปรับเช็คตึกUBC</v>
          </cell>
          <cell r="F140">
            <v>10</v>
          </cell>
        </row>
        <row r="141">
          <cell r="C141" t="str">
            <v>00064-60205250</v>
          </cell>
          <cell r="D141">
            <v>999999</v>
          </cell>
          <cell r="E141" t="str">
            <v>006078/4-คุณวันดี-ค่าอัดภาพเก้าอี้ไลฟ์ออฟ 38ใบ</v>
          </cell>
          <cell r="F141">
            <v>114.02</v>
          </cell>
        </row>
        <row r="142">
          <cell r="C142" t="str">
            <v>45110-11630060</v>
          </cell>
          <cell r="D142">
            <v>999999</v>
          </cell>
          <cell r="E142" t="str">
            <v>006078/4-S.vat#098/4881ไพศาลโฟโต้ อัดรูปเก้าอี้ไลฟ์ออฟ</v>
          </cell>
          <cell r="F142">
            <v>7.98</v>
          </cell>
        </row>
        <row r="143">
          <cell r="C143" t="str">
            <v>00025-62100100</v>
          </cell>
          <cell r="D143">
            <v>999999</v>
          </cell>
          <cell r="E143" t="str">
            <v>006078/5--คุณนันทิมา-ค่าซ่อมกล้อง Ricohทะเบียน3369 ซัตเตอร์เสียของแผนกLP</v>
          </cell>
          <cell r="F143">
            <v>600</v>
          </cell>
        </row>
        <row r="144">
          <cell r="C144" t="str">
            <v>00063-61805050</v>
          </cell>
          <cell r="D144">
            <v>999999</v>
          </cell>
          <cell r="E144" t="str">
            <v>006078/6-คุณนันทิมา-ค่าตั๋วเครื่องบินไป-กลับสมุยคุณสรรลักษณ์และคุณเพ็ญศรี</v>
          </cell>
          <cell r="F144">
            <v>11580</v>
          </cell>
        </row>
        <row r="145">
          <cell r="C145" t="str">
            <v>00064-63050000</v>
          </cell>
          <cell r="D145">
            <v>999999</v>
          </cell>
          <cell r="E145" t="str">
            <v>006078/7-คุณนรา-ค่ายกโต๊ะ 3 ตัว วันที่2-3/6/48</v>
          </cell>
          <cell r="F145">
            <v>200</v>
          </cell>
        </row>
        <row r="146">
          <cell r="C146" t="str">
            <v>00064-61420000</v>
          </cell>
          <cell r="D146">
            <v>999999</v>
          </cell>
          <cell r="E146" t="str">
            <v>006078/8-คุณชวลิต-ค่าส่งEMS</v>
          </cell>
          <cell r="F146">
            <v>140</v>
          </cell>
        </row>
        <row r="147">
          <cell r="C147" t="str">
            <v>00062-61420000</v>
          </cell>
          <cell r="D147">
            <v>999999</v>
          </cell>
          <cell r="E147" t="str">
            <v>006078/9-คุณชวลิต-ต่าแสตมป์ดวงละ3บาท50ดวง</v>
          </cell>
          <cell r="F147">
            <v>150</v>
          </cell>
        </row>
        <row r="148">
          <cell r="C148" t="str">
            <v>00063-62600000</v>
          </cell>
          <cell r="D148">
            <v>999999</v>
          </cell>
          <cell r="E148" t="str">
            <v>006078/10-คุณอรวีณ์-ค่าบัตรของขวัญให้กับเจ้าหน้าที่ตรวจเข้ามืองรัชดาและเจ้าหน้าที่แรงงานรัชดา</v>
          </cell>
          <cell r="F148">
            <v>2000</v>
          </cell>
        </row>
        <row r="149">
          <cell r="C149" t="str">
            <v>00015-62000000</v>
          </cell>
          <cell r="D149">
            <v>999999</v>
          </cell>
          <cell r="E149" t="str">
            <v>006079-คุณนฤมล-ค่ารถเดินทางไปปฏิบัติงานอาหารสดสาขาNL,FDC 25-30/05/05</v>
          </cell>
          <cell r="F149">
            <v>260</v>
          </cell>
        </row>
        <row r="150">
          <cell r="C150" t="str">
            <v>00015-60900000</v>
          </cell>
          <cell r="D150">
            <v>999999</v>
          </cell>
          <cell r="E150" t="str">
            <v>006079-คุณนฤมล-ค่าล้างอัดภาพ</v>
          </cell>
          <cell r="F150">
            <v>312.05</v>
          </cell>
        </row>
        <row r="151">
          <cell r="C151" t="str">
            <v>45110-11630060</v>
          </cell>
          <cell r="D151">
            <v>999999</v>
          </cell>
          <cell r="E151" t="str">
            <v>006079-คุณนฤมล-ไพศาลโฟโต้ #096/4786=5.81, โฟโต้เฟรนด์ #157/7846=3.14</v>
          </cell>
          <cell r="F151">
            <v>8.9499999999999993</v>
          </cell>
        </row>
        <row r="152">
          <cell r="C152" t="str">
            <v>00015-63050000</v>
          </cell>
          <cell r="D152">
            <v>999999</v>
          </cell>
          <cell r="E152" t="str">
            <v>006079-คุณนฤมล-ค่าR&amp;D Seafood</v>
          </cell>
          <cell r="F152">
            <v>510.67</v>
          </cell>
        </row>
        <row r="153">
          <cell r="C153" t="str">
            <v>00015-63050000</v>
          </cell>
          <cell r="D153">
            <v>888888</v>
          </cell>
          <cell r="E153" t="str">
            <v>006079-คุณนฤมล-Unclaim vat ค่าR&amp;D Seafood</v>
          </cell>
          <cell r="F153">
            <v>8.58</v>
          </cell>
        </row>
        <row r="154">
          <cell r="C154" t="str">
            <v>00042-62000000</v>
          </cell>
          <cell r="D154">
            <v>999999</v>
          </cell>
          <cell r="E154" t="str">
            <v>006080-คุณวิไล-ค่ารถไปสรรพากรบางบัวทองวันที่2/6/48</v>
          </cell>
          <cell r="F154">
            <v>60</v>
          </cell>
        </row>
        <row r="155">
          <cell r="C155" t="str">
            <v>00042-62000000</v>
          </cell>
          <cell r="D155">
            <v>999999</v>
          </cell>
          <cell r="E155" t="str">
            <v>006081-คุณวรางคณา-ค่ารถไปสถานีตำรวจดินแดงและค่ารถไปไปรณีย์สะพานควายและมาเซ็นทรัล</v>
          </cell>
          <cell r="F155">
            <v>55</v>
          </cell>
        </row>
        <row r="156">
          <cell r="C156" t="str">
            <v>00042-61420000</v>
          </cell>
          <cell r="D156">
            <v>999999</v>
          </cell>
          <cell r="E156" t="str">
            <v>006081-คุณวรางคณา-ค่าส่งEMSยื่นภงด.3,53ประจำเดือน5/48</v>
          </cell>
          <cell r="F156">
            <v>224</v>
          </cell>
        </row>
        <row r="157">
          <cell r="C157" t="str">
            <v>00017-62000000</v>
          </cell>
          <cell r="D157">
            <v>999999</v>
          </cell>
          <cell r="E157" t="str">
            <v>006082-คุณวัฒนา-ค่ารถไปสำรวจคู่แข่งที่เดอะมอลล์งามวงศ์วาน 3/06/05</v>
          </cell>
          <cell r="F157">
            <v>146</v>
          </cell>
        </row>
        <row r="158">
          <cell r="C158" t="str">
            <v>00016-61805050</v>
          </cell>
          <cell r="D158">
            <v>999999</v>
          </cell>
          <cell r="E158" t="str">
            <v>006083-คุณนันทนา-ค่าเบี้ยเลี้ยงไปทำงานเปิดสาขาสมุย วันที่22-26/5/48</v>
          </cell>
          <cell r="F158">
            <v>1000</v>
          </cell>
        </row>
        <row r="159">
          <cell r="C159" t="str">
            <v>00016-61805050</v>
          </cell>
          <cell r="D159">
            <v>999999</v>
          </cell>
          <cell r="E159" t="str">
            <v>006084-คุณนันธนา-ค่ารถทัวร์ไป-กลับกรุงเทพ-สมุยค่าเรือข้ามไป-กลับสมุยค่ารถจากบขส.ไป-กลับที่พัก22/5/48ค่ารถSerey โลตัสสมุย</v>
          </cell>
          <cell r="F159">
            <v>1618</v>
          </cell>
        </row>
        <row r="160">
          <cell r="C160" t="str">
            <v>00016-62000000</v>
          </cell>
          <cell r="D160">
            <v>999999</v>
          </cell>
          <cell r="E160" t="str">
            <v>006084-คุณนันทิธนา-ค่ารถจากบขส.ไปกลับที่พัก,ค่ารถไป Servey โลตัสสมัย</v>
          </cell>
          <cell r="F160">
            <v>354</v>
          </cell>
        </row>
        <row r="161">
          <cell r="C161" t="str">
            <v>99999-11630251</v>
          </cell>
          <cell r="D161" t="str">
            <v>040123</v>
          </cell>
          <cell r="E161" t="str">
            <v>6/6/2005-#4986</v>
          </cell>
          <cell r="F161">
            <v>31311.5</v>
          </cell>
        </row>
        <row r="164">
          <cell r="C164" t="str">
            <v>00023-62000000</v>
          </cell>
          <cell r="D164">
            <v>999999</v>
          </cell>
          <cell r="E164" t="str">
            <v>006085-คุณวิลัยลักษณ์-ค่ารถไปตรวจสาขาพลาซ่าลากูน,สายไหม,ศรีนครินทร์</v>
          </cell>
          <cell r="F164">
            <v>270</v>
          </cell>
        </row>
        <row r="165">
          <cell r="C165" t="str">
            <v>00023-62000000</v>
          </cell>
          <cell r="D165">
            <v>999999</v>
          </cell>
          <cell r="E165" t="str">
            <v>006086-คุณวิลัยลักษณ์-ค่ารถไปช่วยเปิดสาขาเซียร์รังสิต วันที่ 26/05/05</v>
          </cell>
          <cell r="F165">
            <v>180</v>
          </cell>
        </row>
        <row r="166">
          <cell r="C166" t="str">
            <v>00023-62000000</v>
          </cell>
          <cell r="D166">
            <v>999999</v>
          </cell>
          <cell r="E166" t="str">
            <v>006087-คุณสาคร-ค่ารถไปตรวจสาขาเกษตร,พหลโยธิน,นวมินทร์,หนองจอก,รังสิต,รัตนาธิเบศร์,ริวเรอว์พลาซ่า</v>
          </cell>
          <cell r="F166">
            <v>879</v>
          </cell>
        </row>
        <row r="167">
          <cell r="C167" t="str">
            <v>00052-60141250</v>
          </cell>
          <cell r="D167">
            <v>999999</v>
          </cell>
          <cell r="E167" t="str">
            <v>006088-คุณพรอุมา-ค่ารักษาพยาบาล วันที่ 20/05/05</v>
          </cell>
          <cell r="F167">
            <v>509</v>
          </cell>
        </row>
        <row r="168">
          <cell r="C168" t="str">
            <v>00052-60141250</v>
          </cell>
          <cell r="D168">
            <v>999999</v>
          </cell>
          <cell r="E168" t="str">
            <v>006098-คุณพิศิษฐ์-ค่ารักษาพยาบาล วันที่ 13/05/05</v>
          </cell>
          <cell r="F168">
            <v>510</v>
          </cell>
        </row>
        <row r="169">
          <cell r="C169" t="str">
            <v>00052-60141250</v>
          </cell>
          <cell r="D169">
            <v>999999</v>
          </cell>
          <cell r="E169" t="str">
            <v>006099-คุณพิศิษฐ์-ค่ารักษาพยาบาล วันที่ 06,20/05/05</v>
          </cell>
          <cell r="F169">
            <v>1048</v>
          </cell>
        </row>
        <row r="170">
          <cell r="C170" t="str">
            <v>00041-60141250</v>
          </cell>
          <cell r="D170">
            <v>999999</v>
          </cell>
          <cell r="E170" t="str">
            <v>006089-คุณวราภรณ์-ค่ารักษาพยาบาล รพ.ประชาชื่น วันที่ 27/05/05</v>
          </cell>
          <cell r="F170">
            <v>580</v>
          </cell>
        </row>
        <row r="171">
          <cell r="C171" t="str">
            <v>99999-21930250</v>
          </cell>
          <cell r="D171">
            <v>999999</v>
          </cell>
          <cell r="E171" t="str">
            <v>006090-คุณกาจนา-ค่าจ่า</v>
          </cell>
          <cell r="F171">
            <v>240</v>
          </cell>
        </row>
        <row r="172">
          <cell r="C172" t="str">
            <v>00004-62000000</v>
          </cell>
          <cell r="D172">
            <v>999999</v>
          </cell>
          <cell r="E172" t="str">
            <v>006091-คุณรัศมี-ค่ารถจากHO,รัชดา,ดอนเมือง,รามคำแหงไปขนส่งสายใต้เพื่อเดินทางไป-กลับภูเก็ตเพื่อประเมินสาขาภูเก็ตวันที่1,4,/6/48</v>
          </cell>
          <cell r="F172">
            <v>1630</v>
          </cell>
        </row>
        <row r="173">
          <cell r="C173" t="str">
            <v>00095-60141250</v>
          </cell>
          <cell r="D173">
            <v>999999</v>
          </cell>
          <cell r="E173" t="str">
            <v>006092-คุณอุเทน-ค่ารักษาพยาบาล รพ.นนทเวช วันที่26/5/48</v>
          </cell>
          <cell r="F173">
            <v>1368</v>
          </cell>
        </row>
        <row r="174">
          <cell r="C174" t="str">
            <v>00024-62000000</v>
          </cell>
          <cell r="D174">
            <v>999999</v>
          </cell>
          <cell r="E174" t="str">
            <v>006093-คุณชวนพิศ-ค่ารถไปตรวจเช็คพื้นที่ของร้านค้าใหม่ที่มีการปรับเปลี่ยนใหม่ในส่วนของ Take Home</v>
          </cell>
          <cell r="F174">
            <v>300</v>
          </cell>
        </row>
        <row r="175">
          <cell r="C175" t="str">
            <v>00005-62000000</v>
          </cell>
          <cell r="D175">
            <v>999999</v>
          </cell>
          <cell r="E175" t="str">
            <v>006094-คุณกันตณา-ค่ารถไปดูสาขาและวัดพื้นที่ร้านค้าเช่าไปสาขาสุขาภิบาล3,สายไหม,รามอินทรา</v>
          </cell>
          <cell r="F175">
            <v>500</v>
          </cell>
        </row>
        <row r="176">
          <cell r="C176" t="str">
            <v>00005-62000000</v>
          </cell>
          <cell r="D176">
            <v>999999</v>
          </cell>
          <cell r="E176" t="str">
            <v>006095-คุณจันทรจิรา-ค่ารถไปดูพื้นที่และวัดพื้นที่ให้ร้านยา สาขาหนองจอก,สาขาตลิ่งชั่น วันที่ 26-27/05/05</v>
          </cell>
          <cell r="F176">
            <v>828</v>
          </cell>
        </row>
        <row r="177">
          <cell r="C177" t="str">
            <v>00041-62000000</v>
          </cell>
          <cell r="D177">
            <v>999999</v>
          </cell>
          <cell r="E177" t="str">
            <v>006096-คุณวราภรณ์-ค่ารถไปกลับ Land Department (Huay-Kwang Office)</v>
          </cell>
          <cell r="F177">
            <v>200</v>
          </cell>
        </row>
        <row r="178">
          <cell r="C178" t="str">
            <v>00041-62000000</v>
          </cell>
          <cell r="D178">
            <v>999999</v>
          </cell>
          <cell r="E178" t="str">
            <v>006096-คุณวราภรณ์-ค่าธรรมเนียมแก้ไขสัญญาเช่า</v>
          </cell>
          <cell r="F178">
            <v>50</v>
          </cell>
        </row>
        <row r="179">
          <cell r="C179" t="str">
            <v>31612-62000000</v>
          </cell>
          <cell r="D179">
            <v>999999</v>
          </cell>
          <cell r="E179" t="str">
            <v>006097-คุณเรณู-ค่ารถไปม.เกษตร,นำสินค้าส่งตรวจวิเคราะห์,ค่ารถไปกระทรวงสาธารณสุข วันที่ 03/06/05</v>
          </cell>
          <cell r="F179">
            <v>250</v>
          </cell>
        </row>
        <row r="180">
          <cell r="C180" t="str">
            <v>00052-62000000</v>
          </cell>
          <cell r="D180">
            <v>999999</v>
          </cell>
          <cell r="E180" t="str">
            <v>006100-คุณพิศิษฐ์-ค่ารถไปสาขาสุขาภิบาล 3 ไปงานมหัศจรรย์ผลไม้ไทย วันที่ 3-4/05/05</v>
          </cell>
          <cell r="F180">
            <v>660</v>
          </cell>
        </row>
        <row r="181">
          <cell r="C181" t="str">
            <v>00052-62000000</v>
          </cell>
          <cell r="D181">
            <v>999999</v>
          </cell>
          <cell r="E181" t="str">
            <v>006100-คุณพิศิษฐ์-ค่าล้างอัดรูปงาน Fair ประเทศจีน</v>
          </cell>
          <cell r="F181">
            <v>563.54999999999995</v>
          </cell>
        </row>
        <row r="182">
          <cell r="C182" t="str">
            <v>45110-11630060</v>
          </cell>
          <cell r="D182">
            <v>999999</v>
          </cell>
          <cell r="E182" t="str">
            <v>006100-คุณพิศิษฐ์-193/9635-เอ แอนด์ บี ดิจิตอลแลนด์</v>
          </cell>
          <cell r="F182">
            <v>39.450000000000003</v>
          </cell>
        </row>
        <row r="183">
          <cell r="C183" t="str">
            <v>00052-62000000</v>
          </cell>
          <cell r="D183">
            <v>999999</v>
          </cell>
          <cell r="E183" t="str">
            <v>006100/1-คุณกัญญภัส-ค่ารถไปรังสิต,ดอนเมือง นำใบปลิว Super Redhot ไปให้ วันที่ 18/05/05</v>
          </cell>
          <cell r="F183">
            <v>320</v>
          </cell>
        </row>
        <row r="184">
          <cell r="C184" t="str">
            <v>00051-63040000</v>
          </cell>
          <cell r="D184">
            <v>999999</v>
          </cell>
          <cell r="E184" t="str">
            <v>006100/2-คุณพรจันทร์-ค่าหนังสือ Refevence project</v>
          </cell>
          <cell r="F184">
            <v>190</v>
          </cell>
        </row>
        <row r="185">
          <cell r="C185" t="str">
            <v>00051-61705150</v>
          </cell>
          <cell r="D185">
            <v>999999</v>
          </cell>
          <cell r="E185" t="str">
            <v>006100/2-คุณพรจันทร์-ค่าฟิวเจอร์ทำป้ายมอบถังขยะให้นายกเทศมนตรี สมุย</v>
          </cell>
          <cell r="F185">
            <v>31.78</v>
          </cell>
        </row>
        <row r="186">
          <cell r="C186" t="str">
            <v>45110-11630060</v>
          </cell>
          <cell r="D186">
            <v>999999</v>
          </cell>
          <cell r="E186" t="str">
            <v>006100/2-คุณพรจันทร์-8165967-บีทูเอส</v>
          </cell>
          <cell r="F186">
            <v>2.2200000000000002</v>
          </cell>
        </row>
        <row r="187">
          <cell r="C187" t="str">
            <v>00051-62000000</v>
          </cell>
          <cell r="D187">
            <v>999999</v>
          </cell>
          <cell r="E187" t="str">
            <v>006100/2-คุณพรจันทร์-ค่ารถขนส่งของจากสาขาลาดพร้าวไปวิทยาลัยป้องกันราชอาณาจกัร</v>
          </cell>
          <cell r="F187">
            <v>500</v>
          </cell>
        </row>
        <row r="188">
          <cell r="C188" t="str">
            <v>00052-62000000</v>
          </cell>
          <cell r="D188">
            <v>999999</v>
          </cell>
          <cell r="E188" t="str">
            <v>006100/3-คุณปฏิพงษ์-ค่ารถไปกลับเซียร์รังสิตไปตกแต่งร้านสาขาเปิดใหม่</v>
          </cell>
          <cell r="F188">
            <v>580</v>
          </cell>
        </row>
        <row r="189">
          <cell r="C189" t="str">
            <v>00052-60215000</v>
          </cell>
          <cell r="D189">
            <v>999999</v>
          </cell>
          <cell r="E189" t="str">
            <v>006100/3-คุณปฏิพงษ์-ค่าท่ออลูมิเนียมสำหรับแขวนโมบายภายในร้าน</v>
          </cell>
          <cell r="F189">
            <v>800</v>
          </cell>
        </row>
        <row r="190">
          <cell r="C190" t="str">
            <v>00052-60215000</v>
          </cell>
          <cell r="D190">
            <v>999999</v>
          </cell>
          <cell r="E190" t="str">
            <v>006100/3-คุณปฏิพงษ์-ค่าจ้างทีมงานตกแต่งร้านสาขาใหม่ 3 คน</v>
          </cell>
          <cell r="F190">
            <v>1200</v>
          </cell>
        </row>
        <row r="191">
          <cell r="C191" t="str">
            <v>00052-62000000</v>
          </cell>
          <cell r="D191">
            <v>999999</v>
          </cell>
          <cell r="E191" t="str">
            <v>006100/4-คุณพิชญานัน-ค่ารถไป Cine Sound,Townintown ไปอัดสปอร์ตวิทยุ วันที่ 16,20-21/05/05</v>
          </cell>
          <cell r="F191">
            <v>640</v>
          </cell>
        </row>
        <row r="192">
          <cell r="C192" t="str">
            <v>00052-60205250</v>
          </cell>
          <cell r="D192">
            <v>999999</v>
          </cell>
          <cell r="E192" t="str">
            <v>006100/5-คุณธารารัตน์-ค่าสินค้าถ่ายรูปลง Mail 19/20 และ Teate of the world</v>
          </cell>
          <cell r="F192">
            <v>148.61000000000001</v>
          </cell>
        </row>
        <row r="193">
          <cell r="C193" t="str">
            <v>00052-60205250</v>
          </cell>
          <cell r="D193">
            <v>888888</v>
          </cell>
          <cell r="E193" t="str">
            <v>006100/5-คุณธารารัตน์-Unclaimค่าสินค้าถ่ายรูปลง Mail 19/20 และ Teate of the world</v>
          </cell>
          <cell r="F193">
            <v>8.64</v>
          </cell>
        </row>
        <row r="194">
          <cell r="C194" t="str">
            <v>00051-62000000</v>
          </cell>
          <cell r="D194">
            <v>999999</v>
          </cell>
          <cell r="E194" t="str">
            <v>006100/6-คุณชนิดา-ค่ารถไปกลับนนทบุรี ไปเช่าชุดพิธีเปิดสาขาสมุย,ค่ารถไปเดอะมอลล์บางกะปิ ไปดูงาน Fruit Fest 2005,ค่ารถไปสถานีรถไปสามเสนเพื่อไปสมุย</v>
          </cell>
          <cell r="F194">
            <v>738</v>
          </cell>
        </row>
        <row r="195">
          <cell r="C195" t="str">
            <v>00051-60205270</v>
          </cell>
          <cell r="D195">
            <v>999999</v>
          </cell>
          <cell r="E195" t="str">
            <v>006100/7-คุณสุวรรณี-ค่าตรายาง "งานส่งไปรษณีย์"</v>
          </cell>
          <cell r="F195">
            <v>400</v>
          </cell>
        </row>
        <row r="196">
          <cell r="C196" t="str">
            <v>00004-62000000</v>
          </cell>
          <cell r="D196">
            <v>999999</v>
          </cell>
          <cell r="E196" t="str">
            <v>006101-คุณกันย์ติมาต-ค่ารถไป DC ไปดูโกดังสำหรับจัดตะกร้า NYB วันที่ 03/06/05</v>
          </cell>
          <cell r="F196">
            <v>270</v>
          </cell>
        </row>
        <row r="197">
          <cell r="C197" t="str">
            <v>00052-60205250</v>
          </cell>
          <cell r="D197">
            <v>999999</v>
          </cell>
          <cell r="E197" t="str">
            <v>006100/8-คุณสุวรรณี-ค่าส่งไปรษณีย์ให้ลูกค้า</v>
          </cell>
          <cell r="F197">
            <v>145.97</v>
          </cell>
        </row>
        <row r="198">
          <cell r="C198" t="str">
            <v>45110-11630060</v>
          </cell>
          <cell r="D198">
            <v>999999</v>
          </cell>
          <cell r="E198" t="str">
            <v>006100/8-คุณสุวรรณี-186/9290-โพสท์เน็ท</v>
          </cell>
          <cell r="F198">
            <v>2.0299999999999998</v>
          </cell>
        </row>
        <row r="199">
          <cell r="C199" t="str">
            <v>00052-60205250</v>
          </cell>
          <cell r="D199">
            <v>999999</v>
          </cell>
          <cell r="E199" t="str">
            <v>006100/8-คุณสุวรรณี-ค่า CD-R สำหรับ Save สื่อโฆษณา</v>
          </cell>
          <cell r="F199">
            <v>500</v>
          </cell>
        </row>
        <row r="200">
          <cell r="C200" t="str">
            <v>00052-60205250</v>
          </cell>
          <cell r="D200">
            <v>999999</v>
          </cell>
          <cell r="E200" t="str">
            <v>006100/8-คุณสุวรรณี-ค่า Trdiran Lithium Battery สำหรับงานสื่อโฆษณา</v>
          </cell>
          <cell r="F200">
            <v>420.56</v>
          </cell>
        </row>
        <row r="201">
          <cell r="C201" t="str">
            <v>45110-11630060</v>
          </cell>
          <cell r="D201">
            <v>999999</v>
          </cell>
          <cell r="E201" t="str">
            <v>006100/8-คุณสุวรรณี-20482-ยูฟิคอน</v>
          </cell>
          <cell r="F201">
            <v>29.44</v>
          </cell>
        </row>
        <row r="202">
          <cell r="C202" t="str">
            <v>00011-60210000</v>
          </cell>
          <cell r="D202">
            <v>999999</v>
          </cell>
          <cell r="E202" t="str">
            <v>006102-คุณกรสรัญ-ผ้า Cotton สีน้ำตาล,เนื้อ,ค่าเย็บผ้า 40 ผืน สำหรับ Demo น้ำยารีดเรียบตราท็อปส์</v>
          </cell>
          <cell r="F202">
            <v>714.02</v>
          </cell>
        </row>
        <row r="203">
          <cell r="C203" t="str">
            <v>45110-11630060</v>
          </cell>
          <cell r="D203">
            <v>999999</v>
          </cell>
          <cell r="E203" t="str">
            <v>006102-คุณกรสรัญ-064/03173</v>
          </cell>
          <cell r="F203">
            <v>35.979999999999997</v>
          </cell>
        </row>
        <row r="204">
          <cell r="C204" t="str">
            <v>00051-60900000</v>
          </cell>
          <cell r="D204">
            <v>999999</v>
          </cell>
          <cell r="E204" t="str">
            <v>006100/9-คุณพรจันทร์-ค่าอัดรูปงาน Comfort enent ,ค่าอัดรูปงานสาขาสมุย</v>
          </cell>
          <cell r="F204">
            <v>1342.99</v>
          </cell>
        </row>
        <row r="205">
          <cell r="C205" t="str">
            <v>45110-11630060</v>
          </cell>
          <cell r="D205">
            <v>999999</v>
          </cell>
          <cell r="E205" t="str">
            <v>006100/9-196/9773-เอ แอดน์ด บี ดิจิตอลแล็บ</v>
          </cell>
          <cell r="F205">
            <v>46.58</v>
          </cell>
        </row>
        <row r="206">
          <cell r="C206" t="str">
            <v>45110-11630060</v>
          </cell>
          <cell r="D206">
            <v>999999</v>
          </cell>
          <cell r="E206" t="str">
            <v>006100/9-196/9774-เอ แอดน์ด บี ดิจิตอลแล็บ</v>
          </cell>
          <cell r="F206">
            <v>47.43</v>
          </cell>
        </row>
        <row r="207">
          <cell r="C207" t="str">
            <v>00051-62000000</v>
          </cell>
          <cell r="D207">
            <v>999999</v>
          </cell>
          <cell r="E207" t="str">
            <v>006100/10-คุณพรจันทร์-ค่ารถไปกลับรังสิต-ลาดพร้าว ไปขึ้นรถไปจ.ตราด ,ค่ารถไปกลับอิมแพคเมืองทองธานี งานรับป้าย GMP ,ค่ารถไปปิ่นเกล้า งานคอมฟอร์ต event วันที่ 21,25,27/05/05</v>
          </cell>
          <cell r="F207">
            <v>745</v>
          </cell>
        </row>
        <row r="208">
          <cell r="C208" t="str">
            <v>00051-61805050</v>
          </cell>
          <cell r="D208">
            <v>999999</v>
          </cell>
          <cell r="E208" t="str">
            <v>006100/10-คุณพรจันทร์-ค่าเบี้ยเลี้ยงเดินทางไปจ.ตราด 2 วัน วันที่ 21-22/05/05</v>
          </cell>
          <cell r="F208">
            <v>440</v>
          </cell>
        </row>
        <row r="209">
          <cell r="C209" t="str">
            <v>00051-62600000</v>
          </cell>
          <cell r="D209">
            <v>999999</v>
          </cell>
          <cell r="E209" t="str">
            <v>006100/10-คุณพรจันทร์-ค่าน้ำดื่มเลี้ยงรับรองนักข่าวสัมภาษณ์คุณภัทรพร</v>
          </cell>
          <cell r="F209">
            <v>223</v>
          </cell>
        </row>
        <row r="210">
          <cell r="C210" t="str">
            <v>00051-60900000</v>
          </cell>
          <cell r="D210">
            <v>999999</v>
          </cell>
          <cell r="E210" t="str">
            <v>006100/10-คุณพรจันทร์-ค่าล้างอัดรูปส่งข่าวงานรับป้าย GMP</v>
          </cell>
          <cell r="F210">
            <v>164.02</v>
          </cell>
        </row>
        <row r="211">
          <cell r="C211" t="str">
            <v>45110-11630060</v>
          </cell>
          <cell r="D211">
            <v>999999</v>
          </cell>
          <cell r="E211" t="str">
            <v>006100/10-086170-บจก.เพาเวอร์บาย</v>
          </cell>
          <cell r="F211">
            <v>11.48</v>
          </cell>
        </row>
        <row r="212">
          <cell r="C212" t="str">
            <v>00051-61805050</v>
          </cell>
          <cell r="D212">
            <v>999999</v>
          </cell>
          <cell r="E212" t="str">
            <v>006100/11-คุณชนิดา-ค่าเบี้ยเลี้ยงไปทำพิธีเปิดสาขาสมุย วันที่ 24-26/05/05</v>
          </cell>
          <cell r="F212">
            <v>600</v>
          </cell>
        </row>
        <row r="213">
          <cell r="C213" t="str">
            <v>00052-62000000</v>
          </cell>
          <cell r="D213">
            <v>999999</v>
          </cell>
          <cell r="E213" t="str">
            <v>006100/12-คุณกัญญภัส-ค่ารถไปกลับปิ่นเกล้า,ดอนเมือง ไปดูงาน Comfort แต่งสวยให้บาร์บี้หอม</v>
          </cell>
          <cell r="F213">
            <v>618</v>
          </cell>
        </row>
        <row r="214">
          <cell r="C214" t="str">
            <v>00053-62000000</v>
          </cell>
          <cell r="D214">
            <v>999999</v>
          </cell>
          <cell r="E214" t="str">
            <v>006100/13-คุณสรรเสริญ-ค่ารถไปกลับลาดพร้าว-ชิดลม วันที่ 31/05/05 เพิ่อสำรวจจุดติดตั้ง Kiosk</v>
          </cell>
          <cell r="F214">
            <v>200</v>
          </cell>
        </row>
        <row r="215">
          <cell r="C215" t="str">
            <v>00052-62000000</v>
          </cell>
          <cell r="D215">
            <v>999999</v>
          </cell>
          <cell r="E215" t="str">
            <v>006100/14-คุณณัฐภัทร-ค่ารถไปกลับสาขารัตนาธิเบศร์ ไปสำรวจการติดป้ายสาขา</v>
          </cell>
          <cell r="F215">
            <v>280</v>
          </cell>
        </row>
        <row r="216">
          <cell r="C216" t="str">
            <v>00052-60205270</v>
          </cell>
          <cell r="D216">
            <v>999999</v>
          </cell>
          <cell r="E216" t="str">
            <v>006100/15-คุณสุวรรณี-ค่ารถรับของจากสาชาชิดลมส่งลาดพร้าว วันที่ 02/06/05</v>
          </cell>
          <cell r="F216">
            <v>800</v>
          </cell>
        </row>
        <row r="217">
          <cell r="C217" t="str">
            <v>00053-61420000</v>
          </cell>
          <cell r="D217">
            <v>999999</v>
          </cell>
          <cell r="E217" t="str">
            <v>006100/16-คุณสุวรรณี-ค่าส่งจดหมายลงทะเบียนสำหรับส่งบัตรสปอตรีวอร์คและส่งบัตรของขวัญให้ลูกค้า</v>
          </cell>
          <cell r="F217">
            <v>73.5</v>
          </cell>
        </row>
        <row r="218">
          <cell r="C218" t="str">
            <v>45110-11630060</v>
          </cell>
          <cell r="D218">
            <v>999999</v>
          </cell>
          <cell r="E218" t="str">
            <v>006100/16-185/9202-โพสท์เน็ท</v>
          </cell>
          <cell r="F218">
            <v>1.5</v>
          </cell>
        </row>
        <row r="219">
          <cell r="C219" t="str">
            <v>00015-62000000</v>
          </cell>
          <cell r="D219">
            <v>999999</v>
          </cell>
          <cell r="E219" t="str">
            <v>006103-คุณเกยูร-ค่า Mileage ปฏิบัติงานอาหารสด</v>
          </cell>
          <cell r="F219">
            <v>2947.75</v>
          </cell>
        </row>
        <row r="220">
          <cell r="C220" t="str">
            <v>00011-60141250</v>
          </cell>
          <cell r="D220">
            <v>999999</v>
          </cell>
          <cell r="E220" t="str">
            <v>006105-คุณพัชรี-ค่ารักษาพยาบาล รพ.วิชัยยุทธ วันที่ 05/06/05</v>
          </cell>
          <cell r="F220">
            <v>1062</v>
          </cell>
        </row>
        <row r="221">
          <cell r="C221" t="str">
            <v>00052-63050000</v>
          </cell>
          <cell r="D221">
            <v>999999</v>
          </cell>
          <cell r="E221" t="str">
            <v>006100/17-คุณปฏิพงษ์-ค่าจ้างทีมงานติดป้าย Mobile 30 จุด,ค่าจ้างขนของไปเซียร์,ไปทองหล่อ,ชิดลม</v>
          </cell>
          <cell r="F221">
            <v>2000</v>
          </cell>
        </row>
        <row r="222">
          <cell r="C222" t="str">
            <v>45990-21915201</v>
          </cell>
          <cell r="D222">
            <v>999999</v>
          </cell>
          <cell r="E222" t="str">
            <v>006100/17-054/0349-สุรพล พุ่มโพธิ์เย็น</v>
          </cell>
          <cell r="F222">
            <v>-36</v>
          </cell>
        </row>
        <row r="223">
          <cell r="C223" t="str">
            <v>00017-60215000</v>
          </cell>
          <cell r="D223">
            <v>999999</v>
          </cell>
          <cell r="E223" t="str">
            <v>006106-คุณชนาพร-อุปกรณ์ชามตกแต่ง เคาน์เตอร์บริการชิดลม แผนกซีฟู้ด</v>
          </cell>
          <cell r="F223">
            <v>960</v>
          </cell>
        </row>
        <row r="224">
          <cell r="C224" t="str">
            <v>00017-62000000</v>
          </cell>
          <cell r="D224">
            <v>999999</v>
          </cell>
          <cell r="E224" t="str">
            <v>006107-คุณชนาพร-ค่ารถไปตรวจเยี่ยมสาขาปิ่นเกล้า,พระราม 3,ชิดลม,สุขาภิบาล 3,บางนา,รัตนาธิเบศร์,สุขาภิบาล 3,รังสิต,ค่าทางด่วน วันที่ 31/05/05,01-03/06/05</v>
          </cell>
          <cell r="F224">
            <v>1024</v>
          </cell>
        </row>
        <row r="225">
          <cell r="C225" t="str">
            <v>00017-60215000</v>
          </cell>
          <cell r="D225">
            <v>999999</v>
          </cell>
          <cell r="E225" t="str">
            <v>006108-คุณชนาพร-ค่าอุปกรณ์ใบไม้ตกแต่งเคาน์เตอร์บริการ</v>
          </cell>
          <cell r="F225">
            <v>570</v>
          </cell>
        </row>
        <row r="226">
          <cell r="C226" t="str">
            <v>00052-62000000</v>
          </cell>
          <cell r="D226">
            <v>999999</v>
          </cell>
          <cell r="E226" t="str">
            <v>006100/18-คุณกริช-ค่ารถไปสาขาประชาอุทิศ,พระราม 2,ค่าทางด่วน วันที่ 01/06/05</v>
          </cell>
          <cell r="F226">
            <v>600</v>
          </cell>
        </row>
        <row r="227">
          <cell r="C227" t="str">
            <v>00052-61705150</v>
          </cell>
          <cell r="D227">
            <v>999999</v>
          </cell>
          <cell r="E227" t="str">
            <v>006100/18-คุรกริช-ค่าชุดแฟ้มสันรูด</v>
          </cell>
          <cell r="F227">
            <v>124.33</v>
          </cell>
        </row>
        <row r="228">
          <cell r="C228" t="str">
            <v>45110-11630060</v>
          </cell>
          <cell r="D228">
            <v>999999</v>
          </cell>
          <cell r="E228" t="str">
            <v>006100/18-8167562-บีทูเอส</v>
          </cell>
          <cell r="F228">
            <v>27.67</v>
          </cell>
        </row>
        <row r="229">
          <cell r="C229" t="str">
            <v>00052-62000000</v>
          </cell>
          <cell r="D229">
            <v>999999</v>
          </cell>
          <cell r="E229" t="str">
            <v>006100/19-คุณพิชยา-ค่ารถไปเซ็นทรัลชิดลม,สีลมคอมฯ ไปตรวจโปรโมชั่นที่สาขา</v>
          </cell>
          <cell r="F229">
            <v>220</v>
          </cell>
        </row>
        <row r="230">
          <cell r="C230" t="str">
            <v>00052-62000000</v>
          </cell>
          <cell r="D230">
            <v>999999</v>
          </cell>
          <cell r="E230" t="str">
            <v>006100/20-คุณกัญญภัส-ค่ารถไปสาขาอาร์ซีเอ,เกษตร ไปตรวจความเข้าใจโปรโมชั่น+ตรวจสื่อ</v>
          </cell>
          <cell r="F230">
            <v>346</v>
          </cell>
        </row>
        <row r="231">
          <cell r="C231" t="str">
            <v>00052-62000000</v>
          </cell>
          <cell r="D231">
            <v>999999</v>
          </cell>
          <cell r="E231" t="str">
            <v>006100/21-คุณศิริวัฒน์-ค่ารถไปสาขาออลซีซั่นส์,สุขุมวิท 41ตรวจสาขาในโปรโมชั่น เดือน 06/05</v>
          </cell>
          <cell r="F231">
            <v>202</v>
          </cell>
        </row>
        <row r="232">
          <cell r="C232" t="str">
            <v>00052-60210000</v>
          </cell>
          <cell r="D232">
            <v>999999</v>
          </cell>
          <cell r="E232" t="str">
            <v>006100/22-คุณสุวรรณี-ค่าธรรมเนียมต่ออายุใบอนุญาตธุรกิจตอบรับ+ซองใบอนุญาต งวด 1 ปี วันที่ 01/05/05-30/04/06</v>
          </cell>
          <cell r="F232">
            <v>1000</v>
          </cell>
        </row>
        <row r="233">
          <cell r="C233" t="str">
            <v>00012-60141250</v>
          </cell>
          <cell r="D233">
            <v>999999</v>
          </cell>
          <cell r="E233" t="str">
            <v>006109-คุณวิลาวัณย์-ค่ารักษาพยาบาล รพ.ลาดพร้าว วันที่ 05/06/05</v>
          </cell>
          <cell r="F233">
            <v>1184</v>
          </cell>
        </row>
        <row r="234">
          <cell r="C234" t="str">
            <v>00052-60205270</v>
          </cell>
          <cell r="D234">
            <v>999999</v>
          </cell>
          <cell r="E234" t="str">
            <v>006100/23-คุณสุวรรณี-ค่าแสตมป์ส่ง Brocchur Mail</v>
          </cell>
          <cell r="F234">
            <v>87.48</v>
          </cell>
        </row>
        <row r="235">
          <cell r="C235" t="str">
            <v>45110-11630060</v>
          </cell>
          <cell r="D235">
            <v>999999</v>
          </cell>
          <cell r="E235" t="str">
            <v>006100/23-187/9345-บจ.โพสท์เน็ท</v>
          </cell>
          <cell r="F235">
            <v>0.52</v>
          </cell>
        </row>
        <row r="236">
          <cell r="C236" t="str">
            <v>00052-62805000</v>
          </cell>
          <cell r="D236">
            <v>999999</v>
          </cell>
          <cell r="E236" t="str">
            <v>006100/23-คุณสุวรรณี-ค่าธรรมเนียมซื้อแคชเชียร์เช็ค</v>
          </cell>
          <cell r="F236">
            <v>20</v>
          </cell>
        </row>
        <row r="237">
          <cell r="C237" t="str">
            <v>00052-60205270</v>
          </cell>
          <cell r="D237">
            <v>999999</v>
          </cell>
          <cell r="E237" t="str">
            <v>006100/23-คุณสุวรรณี-ค่าจ้างรถขนของไปส่งสาขาเซียร์</v>
          </cell>
          <cell r="F237">
            <v>500</v>
          </cell>
        </row>
        <row r="238">
          <cell r="C238" t="str">
            <v>00062-62000000</v>
          </cell>
          <cell r="D238">
            <v>999999</v>
          </cell>
          <cell r="E238" t="str">
            <v>006110-คุณปิยพร-ค่ารถจากเวิลด์เทรดมาสนญ.เนื่องจากไปประชุมเรื่อง Job Wapping 07/06/05</v>
          </cell>
          <cell r="F238">
            <v>80</v>
          </cell>
        </row>
        <row r="239">
          <cell r="C239" t="str">
            <v>00054-60141250</v>
          </cell>
          <cell r="D239">
            <v>999999</v>
          </cell>
          <cell r="E239" t="str">
            <v>006111-คุณอภิรดี-ค่ารักษาพยาบาล รพ.ลาดพร้าว วันที่ 2/06/05</v>
          </cell>
          <cell r="F239">
            <v>526</v>
          </cell>
        </row>
        <row r="240">
          <cell r="C240" t="str">
            <v>99999-11630251</v>
          </cell>
          <cell r="D240" t="str">
            <v>040123</v>
          </cell>
          <cell r="E240" t="str">
            <v>7/6/2005-#5045</v>
          </cell>
          <cell r="F240">
            <v>37321.5</v>
          </cell>
        </row>
        <row r="243">
          <cell r="C243" t="str">
            <v>00062-62000000</v>
          </cell>
          <cell r="D243">
            <v>999999</v>
          </cell>
          <cell r="E243" t="str">
            <v>006112-คุณวราภรณ์-ค่ารถไปคัดชื่อผู้สมัครที่บางรัก,ค่ารถไปเปลี่ยนบัตรนายจ้างที่รัชดา,ค่ารถไปสำนักงานจัดหางานพื้นที่ 5 ที่ลาดหญ้า</v>
          </cell>
          <cell r="F243">
            <v>760</v>
          </cell>
        </row>
        <row r="244">
          <cell r="C244" t="str">
            <v>00024-60900000</v>
          </cell>
          <cell r="D244">
            <v>999999</v>
          </cell>
          <cell r="E244" t="str">
            <v>006104-คุณธนิศรา-ค่าล้างรูปถ่ายสาขาเกษตรสื่อประกอบการสอน</v>
          </cell>
          <cell r="F244">
            <v>87</v>
          </cell>
        </row>
        <row r="245">
          <cell r="C245" t="str">
            <v>00011-61705150</v>
          </cell>
          <cell r="D245">
            <v>999999</v>
          </cell>
          <cell r="E245" t="str">
            <v>006113-คุณนงเยาว์-ค่าไส้นามบัตรและการ์ด</v>
          </cell>
          <cell r="F245">
            <v>159.81</v>
          </cell>
        </row>
        <row r="246">
          <cell r="C246" t="str">
            <v>45110-11630060</v>
          </cell>
          <cell r="D246">
            <v>999999</v>
          </cell>
          <cell r="E246" t="str">
            <v>006113-คุณนงเยาว์-8166966-บีทูเอส</v>
          </cell>
          <cell r="F246">
            <v>11.19</v>
          </cell>
        </row>
        <row r="247">
          <cell r="C247" t="str">
            <v>00054-62000000</v>
          </cell>
          <cell r="D247">
            <v>999999</v>
          </cell>
          <cell r="E247" t="str">
            <v>006114-คุณณัฐธัญ-ค่ารถไปสำรวจคู่แข่งขันที่โลตัสสาขารังสิต-นครนายนกวันที่ 01/06/05</v>
          </cell>
          <cell r="F247">
            <v>342</v>
          </cell>
        </row>
        <row r="248">
          <cell r="C248" t="str">
            <v>00054-62000000</v>
          </cell>
          <cell r="D248">
            <v>999999</v>
          </cell>
          <cell r="E248" t="str">
            <v>006115-คุณสุกัญญา-ค่ารถไปสำรวจราคาคู่แข่งขันที่เดอะมอลล์งามวงศ์งาน,โสตัสสะพานใหม่,ฟู้ดแลนด์ลาดพร้าว,โลตัสคลอง 4 ,บิ๊กซีสะพานควาย,แม็คโครบางกะปิ วันที่ 30-31/05/05,01-03/06/05</v>
          </cell>
          <cell r="F248">
            <v>2380</v>
          </cell>
        </row>
        <row r="249">
          <cell r="C249" t="str">
            <v>00054-62000000</v>
          </cell>
          <cell r="D249">
            <v>999999</v>
          </cell>
          <cell r="E249" t="str">
            <v>006116-คุณอัญชนา-ค่ารถไปสำรวจราคาคู่แข่งขันที่เดอะมอลล์งามวงศ์วาน,โลตัสสะพานใหม่,เดอะมอลล์บางกะปิ,ฟู้ดแลนด์ลาดพร้าว,คาร์ฟูร์รังสิต วันที่ 30-31/05/05,01-03/06/05</v>
          </cell>
          <cell r="F249">
            <v>2380</v>
          </cell>
        </row>
        <row r="250">
          <cell r="C250" t="str">
            <v>00047-62000000</v>
          </cell>
          <cell r="D250">
            <v>999999</v>
          </cell>
          <cell r="E250" t="str">
            <v>006117-คุณวรรณดี-ค่ารถไปกลับสาขานางลิ้นจี่,สาขาพีเอสสีลม วันที่ 31/05/05,01/06/05</v>
          </cell>
          <cell r="F250">
            <v>558</v>
          </cell>
        </row>
        <row r="251">
          <cell r="C251" t="str">
            <v>00023-62000000</v>
          </cell>
          <cell r="D251">
            <v>999999</v>
          </cell>
          <cell r="E251" t="str">
            <v>006118-คุณบุญสุข-ค่ารถไปตรวจสาขารัชดาภิเษก,ลาดพร้าว,เกษตร,ค่ารถไปชนส่งสายใต้</v>
          </cell>
          <cell r="F251">
            <v>774</v>
          </cell>
        </row>
        <row r="252">
          <cell r="C252" t="str">
            <v>00023-61805050</v>
          </cell>
          <cell r="D252">
            <v>999999</v>
          </cell>
          <cell r="E252" t="str">
            <v>006118-คุณบุญสุข-ค่าเบี้ยเลี้ยงไปสาขา HY,HD,HC,NS วันที่ 7-10/05/05</v>
          </cell>
          <cell r="F252">
            <v>800</v>
          </cell>
        </row>
        <row r="253">
          <cell r="C253" t="str">
            <v>00023-61805050</v>
          </cell>
          <cell r="D253">
            <v>999999</v>
          </cell>
          <cell r="E253" t="str">
            <v>006118-คุณบุญสุข-ค่าเบี้ยเลี้ยงช่วยงานเปิดสาขาใหม่สมุย 13 วันๆละ 200 วันที่ 20-31/05/05</v>
          </cell>
          <cell r="F253">
            <v>2600</v>
          </cell>
        </row>
        <row r="254">
          <cell r="C254" t="str">
            <v>00011-61705150</v>
          </cell>
          <cell r="D254">
            <v>999999</v>
          </cell>
          <cell r="E254" t="str">
            <v>006119-คุณกมลวรรณ-ค่าป้ายชื่อ</v>
          </cell>
          <cell r="F254">
            <v>150</v>
          </cell>
        </row>
        <row r="255">
          <cell r="C255" t="str">
            <v>45110-11630060</v>
          </cell>
          <cell r="D255">
            <v>999999</v>
          </cell>
          <cell r="E255" t="str">
            <v>006119-คุณกมลวรรณ-IV0009134</v>
          </cell>
          <cell r="F255">
            <v>10.5</v>
          </cell>
        </row>
        <row r="256">
          <cell r="C256" t="str">
            <v>00004-62000000</v>
          </cell>
          <cell r="D256">
            <v>999999</v>
          </cell>
          <cell r="E256" t="str">
            <v>006120-คุณรัศมี-ค่ารถไปกลับสาขาเจริญกรุงเพื่อตรวจประเมินสาขา,ค่ารถไปกลับศึกษาภัณฑ์ราชดำเนิน</v>
          </cell>
          <cell r="F256">
            <v>571</v>
          </cell>
        </row>
        <row r="257">
          <cell r="C257" t="str">
            <v>00004-61100000</v>
          </cell>
          <cell r="D257">
            <v>999999</v>
          </cell>
          <cell r="E257" t="str">
            <v>006120-คุณรัศมี-เครื่องมือทดสอบคุณภาพสินค้า</v>
          </cell>
          <cell r="F257">
            <v>787.85</v>
          </cell>
        </row>
        <row r="258">
          <cell r="C258" t="str">
            <v>45110-11630060</v>
          </cell>
          <cell r="D258">
            <v>999999</v>
          </cell>
          <cell r="E258" t="str">
            <v>0006120-คุณรัศมี-48077525-องค์การค้าคุรุสภา</v>
          </cell>
          <cell r="F258">
            <v>55.15</v>
          </cell>
        </row>
        <row r="259">
          <cell r="C259" t="str">
            <v>00004-60141250</v>
          </cell>
          <cell r="D259">
            <v>999999</v>
          </cell>
          <cell r="E259" t="str">
            <v>006121-คุณรัศมี-ค่ารักษาพยาบาล รพ.วิภาวดี วันที่ 01/06/05</v>
          </cell>
          <cell r="F259">
            <v>883</v>
          </cell>
        </row>
        <row r="260">
          <cell r="C260" t="str">
            <v>00004-60141250</v>
          </cell>
          <cell r="D260">
            <v>999999</v>
          </cell>
          <cell r="E260" t="str">
            <v>006122-คุณรัศมี-ค่ารักษาพยาบาล รพ.วิภาวดี วันที่ 08/06/05</v>
          </cell>
          <cell r="F260">
            <v>1171</v>
          </cell>
        </row>
        <row r="261">
          <cell r="C261" t="str">
            <v>00005-62000000</v>
          </cell>
          <cell r="D261">
            <v>999999</v>
          </cell>
          <cell r="E261" t="str">
            <v>006123-คุณพัชรี-ค่ารถกลับจากการไปช่วยงานสาขาเซียร์ วันที่ 18/05/05</v>
          </cell>
          <cell r="F261">
            <v>150</v>
          </cell>
        </row>
        <row r="262">
          <cell r="C262" t="str">
            <v>00018-62000000</v>
          </cell>
          <cell r="D262">
            <v>999999</v>
          </cell>
          <cell r="E262" t="str">
            <v>006124-คุณกัญญา-ค่ารถไปตลาดสี่มุมเมือง,ค่าทางด่วนไปสำรวจราคาคุ่แข่งขัน วันที่ 01/06/05</v>
          </cell>
          <cell r="F262">
            <v>350</v>
          </cell>
        </row>
        <row r="263">
          <cell r="C263" t="str">
            <v>00018-62000000</v>
          </cell>
          <cell r="D263">
            <v>999999</v>
          </cell>
          <cell r="E263" t="str">
            <v>006125-คุณกัญญา-ค่ารถไปกรมวิชาการเกษตรไปติดต่อเรื่อง GAP วันที่ 06-07/06/05</v>
          </cell>
          <cell r="F263">
            <v>300</v>
          </cell>
        </row>
        <row r="264">
          <cell r="C264" t="str">
            <v>00022-60141250</v>
          </cell>
          <cell r="D264">
            <v>999999</v>
          </cell>
          <cell r="E264" t="str">
            <v>006126-คุณวัชรินทร์-ค่ารักษาพยาบาล รพ.เปาโล วันที่ 06/05/05</v>
          </cell>
          <cell r="F264">
            <v>1120</v>
          </cell>
        </row>
        <row r="265">
          <cell r="C265" t="str">
            <v>00022-60141250</v>
          </cell>
          <cell r="D265">
            <v>999999</v>
          </cell>
          <cell r="E265" t="str">
            <v>006127-คุณสิทธิกร-ค่ารักษาพยาบาล รพ.เปาโล วันที่ 06/06/05</v>
          </cell>
          <cell r="F265">
            <v>870</v>
          </cell>
        </row>
        <row r="266">
          <cell r="C266" t="str">
            <v>00013-60141250</v>
          </cell>
          <cell r="D266">
            <v>999999</v>
          </cell>
          <cell r="E266" t="str">
            <v>006128-คุณเรณู-ค่ารักษาพยาบาล รพ.พญาไท 2 วันที่ 28/05/05</v>
          </cell>
          <cell r="F266">
            <v>1235</v>
          </cell>
        </row>
        <row r="267">
          <cell r="C267" t="str">
            <v>00013-60141250</v>
          </cell>
          <cell r="D267">
            <v>999999</v>
          </cell>
          <cell r="E267" t="str">
            <v>006129-คุณเรณู-ค่ารักษาพยาบาล รพ.พญาไท 2 วันที่ 06/06/05</v>
          </cell>
          <cell r="F267">
            <v>2164</v>
          </cell>
        </row>
        <row r="268">
          <cell r="C268" t="str">
            <v>00047-62000000</v>
          </cell>
          <cell r="D268">
            <v>999999</v>
          </cell>
          <cell r="E268" t="str">
            <v>006130-คุณวรรณดี-ค่ารถไปกลับสนญ.-สาขาออลซีซั่น,ค่ากลับไปกลับสาขาศรีนครินทร์ วันที่ 06-07/05/05</v>
          </cell>
          <cell r="F268">
            <v>726</v>
          </cell>
        </row>
        <row r="269">
          <cell r="C269" t="str">
            <v>00047-62000000</v>
          </cell>
          <cell r="D269">
            <v>999999</v>
          </cell>
          <cell r="E269" t="str">
            <v>006131-คุณยุทธนา-ค่ารถไปกลับสาขาราชวิถี ไปตรวจสาขา วันที่ 6/06/05</v>
          </cell>
          <cell r="F269">
            <v>194</v>
          </cell>
        </row>
        <row r="270">
          <cell r="C270" t="str">
            <v>00047-62000000</v>
          </cell>
          <cell r="D270">
            <v>999999</v>
          </cell>
          <cell r="E270" t="str">
            <v>006132-คุณทศพร-ค่ารถไปตรวจสาขารังสิต วันที่ 07/06/05</v>
          </cell>
          <cell r="F270">
            <v>364</v>
          </cell>
        </row>
        <row r="271">
          <cell r="C271" t="str">
            <v>00063-60144110</v>
          </cell>
          <cell r="D271">
            <v>999999</v>
          </cell>
          <cell r="E271" t="str">
            <v>006133-คุณสรรค์ลักษณ์-ค่ารถไปสนามบินดอนเมือง วันที่ 04-05/06/05</v>
          </cell>
          <cell r="F271">
            <v>280</v>
          </cell>
        </row>
        <row r="272">
          <cell r="C272" t="str">
            <v>00063-61805050</v>
          </cell>
          <cell r="D272">
            <v>999999</v>
          </cell>
          <cell r="E272" t="str">
            <v>006133-คุณสรรค์ลักษณ์-ค่าที่พัก 1 คืน วันที่ 04/05/05 ไปติดตามการเรียน/ฝึกงานของนักเรียนระบบทวิภาคี</v>
          </cell>
          <cell r="F272">
            <v>900</v>
          </cell>
        </row>
        <row r="273">
          <cell r="C273" t="str">
            <v>00063-61805050</v>
          </cell>
          <cell r="D273">
            <v>999999</v>
          </cell>
          <cell r="E273" t="str">
            <v>006133-คุณสรรค์ลักษณ์-ค่าภาษีสนามบินสมุย,ค่ารถจากสนามบินสมุยไปโรงแรมที่พัก</v>
          </cell>
          <cell r="F273">
            <v>400</v>
          </cell>
        </row>
        <row r="274">
          <cell r="C274" t="str">
            <v>00024-62000000</v>
          </cell>
          <cell r="D274">
            <v>999999</v>
          </cell>
          <cell r="E274" t="str">
            <v>006134-คุณธนิศรา-ค่ารถไปกลับสาขาประชาอุทิศ ไป Visit stor 08/06/05</v>
          </cell>
          <cell r="F274">
            <v>530</v>
          </cell>
        </row>
        <row r="275">
          <cell r="C275" t="str">
            <v>00012-62000000</v>
          </cell>
          <cell r="D275">
            <v>999999</v>
          </cell>
          <cell r="E275" t="str">
            <v>006135-คุณชญานี-ค่ารถไปทองหล่อไปจัดเรียงสินค้า วันที่ 08/06/05,ค่ารถจากชิดลมไปลาดพร้าว วันที่ 08/06/05,ค่าทางด่วน</v>
          </cell>
          <cell r="F275">
            <v>341</v>
          </cell>
        </row>
        <row r="276">
          <cell r="C276" t="str">
            <v>99999-11630251</v>
          </cell>
          <cell r="D276" t="str">
            <v>040123</v>
          </cell>
          <cell r="E276" t="str">
            <v>8/6/2005-#5150</v>
          </cell>
          <cell r="F276">
            <v>24404.5</v>
          </cell>
        </row>
        <row r="279">
          <cell r="C279" t="str">
            <v>00027-62000000</v>
          </cell>
          <cell r="D279">
            <v>999999</v>
          </cell>
          <cell r="E279" t="str">
            <v>006136--คุณสิทธิพงษ์-ค่ารถพนักงานไปเช็คสต๊อก สาขาปิ่นเกล้า,สาขาลาดกระบัง,สาขาหนองจอกวันที่29/5/48,1-2/6/48</v>
          </cell>
          <cell r="F279">
            <v>4350</v>
          </cell>
        </row>
        <row r="280">
          <cell r="C280" t="str">
            <v>00027-62000000</v>
          </cell>
          <cell r="D280">
            <v>999999</v>
          </cell>
          <cell r="E280" t="str">
            <v>006137-คุณสิทธิพงษ์-ค่ารถส่งเครื่องPDTสาขาหนองจอกไปสรงประภา วันที่31/5/48สจากสรงประภาไปรัชดาวันที่2/6/48และจากรัชดาไปตลิ่งชัน</v>
          </cell>
          <cell r="F280">
            <v>1441</v>
          </cell>
        </row>
        <row r="281">
          <cell r="C281" t="str">
            <v>00015-62000000</v>
          </cell>
          <cell r="D281">
            <v>999999</v>
          </cell>
          <cell r="E281" t="str">
            <v>006138-คุณวุฒิพันธ์-ค่า Mileage 24/05-08/06 ไปปฏิบัติงานอาหารสดสาขา ZR,PR,SK,RS,SV,RI,BR,TL,BN สำรวจตลาดเอ็มโพร์เรียล 210*4.83 ,ค่าทางด่วน</v>
          </cell>
          <cell r="F281">
            <v>1254.25</v>
          </cell>
        </row>
        <row r="282">
          <cell r="C282" t="str">
            <v>99999-11635104</v>
          </cell>
          <cell r="D282">
            <v>999999</v>
          </cell>
          <cell r="E282" t="str">
            <v>006139-คุณบุญสุข-clear ADV.P04/026</v>
          </cell>
          <cell r="F282">
            <v>1641</v>
          </cell>
        </row>
        <row r="283">
          <cell r="C283" t="str">
            <v>00054-60141250</v>
          </cell>
          <cell r="D283">
            <v>999999</v>
          </cell>
          <cell r="E283" t="str">
            <v>006140-คุณปทิตตา-ค่ารักษาพยาบาล เจ็บคอไข้หวัด</v>
          </cell>
          <cell r="F283">
            <v>1037</v>
          </cell>
        </row>
        <row r="284">
          <cell r="C284" t="str">
            <v>00024-62000000</v>
          </cell>
          <cell r="D284">
            <v>999999</v>
          </cell>
          <cell r="E284" t="str">
            <v>006141-คุณพรทิพย์-ค่ารถไปกลับลาดพร้าว-ศรีนครินทร์ วันที่ 03/06/05 ไปตรวจเยี่ยมสาขาและร้านค้าตรวจความเรียบร้อย</v>
          </cell>
          <cell r="F284">
            <v>430</v>
          </cell>
        </row>
        <row r="285">
          <cell r="C285" t="str">
            <v>00041-62000000</v>
          </cell>
          <cell r="D285">
            <v>999999</v>
          </cell>
          <cell r="E285" t="str">
            <v>006142-คุณวราภรณ์-ค่ารถไปกลับกรมปศุสัตว์</v>
          </cell>
          <cell r="F285">
            <v>220</v>
          </cell>
        </row>
        <row r="286">
          <cell r="C286" t="str">
            <v>26990-62920000</v>
          </cell>
          <cell r="D286">
            <v>999999</v>
          </cell>
          <cell r="E286" t="str">
            <v>006142-คุณวราภรณ์-ค่าธรรมเนียมใบอนุญาตอาหารสัตว์ระยะเวลา 06-12/05</v>
          </cell>
          <cell r="F286">
            <v>300</v>
          </cell>
        </row>
        <row r="287">
          <cell r="C287" t="str">
            <v>00044-11630251</v>
          </cell>
          <cell r="D287" t="str">
            <v>040123</v>
          </cell>
          <cell r="E287" t="str">
            <v>006142-คุณวราภรณ์-ค่าธรรมเนียมใบอนุญาตอาหารสัตว์ระยะเวลา 06-12/05</v>
          </cell>
          <cell r="F287">
            <v>-300</v>
          </cell>
        </row>
        <row r="288">
          <cell r="C288" t="str">
            <v>00044-11630251</v>
          </cell>
          <cell r="D288" t="str">
            <v>040123</v>
          </cell>
          <cell r="E288" t="str">
            <v>006142-คุณวราภรณ์-ค่าธรรมเนียมใบอนุญาตอาหารสัตว์ระยะเวลา 06-12/05</v>
          </cell>
          <cell r="F288">
            <v>300</v>
          </cell>
        </row>
        <row r="289">
          <cell r="C289" t="str">
            <v>26990-62920000</v>
          </cell>
          <cell r="D289">
            <v>999999</v>
          </cell>
          <cell r="E289" t="str">
            <v>006142-คุณวราภรณ์-ค่าธรรมเนียมใบอนุญาตอาหารสัตว์ระยะเวลา 06-12/05</v>
          </cell>
          <cell r="F289">
            <v>300</v>
          </cell>
        </row>
        <row r="290">
          <cell r="C290" t="str">
            <v>00044-11630251</v>
          </cell>
          <cell r="D290" t="str">
            <v>040123</v>
          </cell>
          <cell r="E290" t="str">
            <v>006142-คุณวราภรณ์-ค่าธรรมเนียมใบอนุญาตอาหารสัตว์ระยะเวลา 06-12/05</v>
          </cell>
          <cell r="F290">
            <v>-300</v>
          </cell>
        </row>
        <row r="291">
          <cell r="C291" t="str">
            <v>00044-11630251</v>
          </cell>
          <cell r="D291" t="str">
            <v>040123</v>
          </cell>
          <cell r="E291" t="str">
            <v>006142-คุณวราภรณ์-ค่าธรรมเนียมใบอนุญาตอาหารสัตว์ระยะเวลา 06-12/05</v>
          </cell>
          <cell r="F291">
            <v>300</v>
          </cell>
        </row>
        <row r="292">
          <cell r="C292" t="str">
            <v>26990-62920000</v>
          </cell>
          <cell r="D292">
            <v>999999</v>
          </cell>
          <cell r="E292" t="str">
            <v>006142-คุณวราภรณ์-ค่าธรรมเนียมใบอนุญาตอาหารสัตว์ระยะเวลา 06-12/05</v>
          </cell>
          <cell r="F292">
            <v>300</v>
          </cell>
        </row>
        <row r="293">
          <cell r="C293" t="str">
            <v>00044-11630251</v>
          </cell>
          <cell r="D293" t="str">
            <v>040123</v>
          </cell>
          <cell r="E293" t="str">
            <v>006142-คุณวราภรณ์-ค่าธรรมเนียมใบอนุญาตอาหารสัตว์ระยะเวลา 06-12/05</v>
          </cell>
          <cell r="F293">
            <v>-300</v>
          </cell>
        </row>
        <row r="294">
          <cell r="C294" t="str">
            <v>00044-11630251</v>
          </cell>
          <cell r="D294" t="str">
            <v>040123</v>
          </cell>
          <cell r="E294" t="str">
            <v>006142-คุณวราภรณ์-ค่าธรรมเนียมใบอนุญาตอาหารสัตว์ระยะเวลา 06-12/05</v>
          </cell>
          <cell r="F294">
            <v>300</v>
          </cell>
        </row>
        <row r="295">
          <cell r="C295" t="str">
            <v>26990-62920000</v>
          </cell>
          <cell r="D295">
            <v>999999</v>
          </cell>
          <cell r="E295" t="str">
            <v>006142-คุณวราภรณ์-ค่าธรรมเนียมใบอนุญาตอาหารสัตว์ระยะเวลา 06-12/05</v>
          </cell>
          <cell r="F295">
            <v>300</v>
          </cell>
        </row>
        <row r="296">
          <cell r="C296" t="str">
            <v>00044-11630251</v>
          </cell>
          <cell r="D296" t="str">
            <v>040123</v>
          </cell>
          <cell r="E296" t="str">
            <v>006142-คุณวราภรณ์-ค่าธรรมเนียมใบอนุญาตอาหารสัตว์ระยะเวลา 06-12/05</v>
          </cell>
          <cell r="F296">
            <v>-300</v>
          </cell>
        </row>
        <row r="297">
          <cell r="C297" t="str">
            <v>00044-11630251</v>
          </cell>
          <cell r="D297" t="str">
            <v>040123</v>
          </cell>
          <cell r="E297" t="str">
            <v>006142-คุณวราภรณ์-ค่าธรรมเนียมใบอนุญาตอาหารสัตว์ระยะเวลา 06-12/05</v>
          </cell>
          <cell r="F297">
            <v>300</v>
          </cell>
        </row>
        <row r="298">
          <cell r="C298" t="str">
            <v>26990-62920000</v>
          </cell>
          <cell r="D298">
            <v>999999</v>
          </cell>
          <cell r="E298" t="str">
            <v>006142-คุณวราภรณ์-ค่าธรรมเนียมใบอนุญาตอาหารสัตว์ระยะเวลา 06-12/05</v>
          </cell>
          <cell r="F298">
            <v>300</v>
          </cell>
        </row>
        <row r="299">
          <cell r="C299" t="str">
            <v>00044-11630251</v>
          </cell>
          <cell r="D299" t="str">
            <v>040123</v>
          </cell>
          <cell r="E299" t="str">
            <v>006142-คุณวราภรณ์-ค่าธรรมเนียมใบอนุญาตอาหารสัตว์ระยะเวลา 06-12/05</v>
          </cell>
          <cell r="F299">
            <v>-300</v>
          </cell>
        </row>
        <row r="300">
          <cell r="C300" t="str">
            <v>00044-11630251</v>
          </cell>
          <cell r="D300" t="str">
            <v>040123</v>
          </cell>
          <cell r="E300" t="str">
            <v>006142-คุณวราภรณ์-ค่าธรรมเนียมใบอนุญาตอาหารสัตว์ระยะเวลา 06-12/05</v>
          </cell>
          <cell r="F300">
            <v>300</v>
          </cell>
        </row>
        <row r="301">
          <cell r="C301" t="str">
            <v>26990-62920000</v>
          </cell>
          <cell r="D301">
            <v>999999</v>
          </cell>
          <cell r="E301" t="str">
            <v>006142-คุณวราภรณ์-ค่าธรรมเนียมใบอนุญาตอาหารสัตว์ระยะเวลา 06-12/05</v>
          </cell>
          <cell r="F301">
            <v>300</v>
          </cell>
        </row>
        <row r="302">
          <cell r="C302" t="str">
            <v>00044-11630251</v>
          </cell>
          <cell r="D302" t="str">
            <v>040123</v>
          </cell>
          <cell r="E302" t="str">
            <v>006142-คุณวราภรณ์-ค่าธรรมเนียมใบอนุญาตอาหารสัตว์ระยะเวลา 06-12/05</v>
          </cell>
          <cell r="F302">
            <v>-300</v>
          </cell>
        </row>
        <row r="303">
          <cell r="C303" t="str">
            <v>00044-11630251</v>
          </cell>
          <cell r="D303" t="str">
            <v>040123</v>
          </cell>
          <cell r="E303" t="str">
            <v>006142-คุณวราภรณ์-ค่าธรรมเนียมใบอนุญาตอาหารสัตว์ระยะเวลา 06-12/05</v>
          </cell>
          <cell r="F303">
            <v>300</v>
          </cell>
        </row>
        <row r="304">
          <cell r="C304" t="str">
            <v>26990-62920000</v>
          </cell>
          <cell r="D304">
            <v>999999</v>
          </cell>
          <cell r="E304" t="str">
            <v>006142-คุณวราภรณ์-ค่าธรรมเนียมใบอนุญาตอาหารสัตว์ระยะเวลา 06-12/05</v>
          </cell>
          <cell r="F304">
            <v>300</v>
          </cell>
        </row>
        <row r="305">
          <cell r="C305" t="str">
            <v>00044-11630251</v>
          </cell>
          <cell r="D305" t="str">
            <v>040123</v>
          </cell>
          <cell r="E305" t="str">
            <v>006142-คุณวราภรณ์-ค่าธรรมเนียมใบอนุญาตอาหารสัตว์ระยะเวลา 06-12/05</v>
          </cell>
          <cell r="F305">
            <v>-300</v>
          </cell>
        </row>
        <row r="306">
          <cell r="C306" t="str">
            <v>00044-11630251</v>
          </cell>
          <cell r="D306" t="str">
            <v>040123</v>
          </cell>
          <cell r="E306" t="str">
            <v>006142-คุณวราภรณ์-ค่าธรรมเนียมใบอนุญาตอาหารสัตว์ระยะเวลา 06-12/05</v>
          </cell>
          <cell r="F306">
            <v>300</v>
          </cell>
        </row>
        <row r="307">
          <cell r="C307" t="str">
            <v>26990-62920000</v>
          </cell>
          <cell r="D307">
            <v>999999</v>
          </cell>
          <cell r="E307" t="str">
            <v>006142-คุณวราภรณ์-ค่าธรรมเนียมใบอนุญาตอาหารสัตว์ระยะเวลา 06-12/05</v>
          </cell>
          <cell r="F307">
            <v>300</v>
          </cell>
        </row>
        <row r="308">
          <cell r="C308" t="str">
            <v>00044-11630251</v>
          </cell>
          <cell r="D308" t="str">
            <v>040123</v>
          </cell>
          <cell r="E308" t="str">
            <v>006142-คุณวราภรณ์-ค่าธรรมเนียมใบอนุญาตอาหารสัตว์ระยะเวลา 06-12/05</v>
          </cell>
          <cell r="F308">
            <v>-300</v>
          </cell>
        </row>
        <row r="309">
          <cell r="C309" t="str">
            <v>00044-11630251</v>
          </cell>
          <cell r="D309" t="str">
            <v>040123</v>
          </cell>
          <cell r="E309" t="str">
            <v>006142-คุณวราภรณ์-ค่าธรรมเนียมใบอนุญาตอาหารสัตว์ระยะเวลา 06-12/05</v>
          </cell>
          <cell r="F309">
            <v>300</v>
          </cell>
        </row>
        <row r="310">
          <cell r="C310" t="str">
            <v>00042-62000000</v>
          </cell>
          <cell r="D310">
            <v>999999</v>
          </cell>
          <cell r="E310" t="str">
            <v>006144-คุณนภาพร-ค่ารถไปกลับกรมที่ดินเพื่อขอรับหนังสือประเมินที่ดิน วันที่ 06/06/05</v>
          </cell>
          <cell r="F310">
            <v>260</v>
          </cell>
        </row>
        <row r="311">
          <cell r="C311" t="str">
            <v>00071-62000000</v>
          </cell>
          <cell r="D311">
            <v>999999</v>
          </cell>
          <cell r="E311" t="str">
            <v>006143-คุณวิราณี-ค่ารถไปกลับตึกซันทาวเวอร์เพื่อประชุม TMU วันที่ 07/06/05 = 80 ,ค่ารถไปกลับสนญ.-สายไหม เพื่อประชุมเรื่องที่จอดรถ วันที่ 08/06/05</v>
          </cell>
          <cell r="F311">
            <v>430</v>
          </cell>
        </row>
        <row r="312">
          <cell r="C312" t="str">
            <v>00042-62000000</v>
          </cell>
          <cell r="D312">
            <v>999999</v>
          </cell>
          <cell r="E312" t="str">
            <v>006145-คุณวิไล-ค่ารถไปสรรพากรเขตจตุจักรเสียภาษี ภงด.1,3,53 เดือน 05/05 วันที่ 07/06/05</v>
          </cell>
          <cell r="F312">
            <v>50</v>
          </cell>
        </row>
        <row r="313">
          <cell r="C313" t="str">
            <v>00042-61420000</v>
          </cell>
          <cell r="D313">
            <v>999999</v>
          </cell>
          <cell r="E313" t="str">
            <v>006146-คุณวราคณา-ค่าจ้าง Massenger วิ่งงานด่วน นำแอกสารเรื่องโอน LST เข้า DC ไปให้กรรมการลงนามและนำส่งฝ่ายกฏหมาย วันที่ 07/06/05</v>
          </cell>
          <cell r="F313">
            <v>200</v>
          </cell>
        </row>
        <row r="314">
          <cell r="C314" t="str">
            <v>00016-61100000</v>
          </cell>
          <cell r="D314">
            <v>999999</v>
          </cell>
          <cell r="E314" t="str">
            <v>006147-คุณสุภัทรา-ค่ากะทิธัญพืช เพื่อทำทดสอบ R&amp;D</v>
          </cell>
          <cell r="F314">
            <v>831.45</v>
          </cell>
        </row>
        <row r="315">
          <cell r="C315" t="str">
            <v>00016-61100000</v>
          </cell>
          <cell r="D315">
            <v>888888</v>
          </cell>
          <cell r="E315" t="str">
            <v>006147-คุณสุภัทรา-Unclaimค่ากะทิธัญพืช เพื่อทำทดสอบ R&amp;D</v>
          </cell>
          <cell r="F315">
            <v>17.8</v>
          </cell>
        </row>
        <row r="316">
          <cell r="C316" t="str">
            <v>00016-60205250</v>
          </cell>
          <cell r="D316">
            <v>999999</v>
          </cell>
          <cell r="E316" t="str">
            <v>006148-คุณสุภัทรา-ค่าสินค้าถ่ายรูปตัวอย่างให้สาขา</v>
          </cell>
          <cell r="F316">
            <v>93.46</v>
          </cell>
        </row>
        <row r="317">
          <cell r="C317" t="str">
            <v>00016-60205250</v>
          </cell>
          <cell r="D317">
            <v>888888</v>
          </cell>
          <cell r="E317" t="str">
            <v>006148-คุณสุภัทรา-Unclaimค่าสินค้าถ่ายรูปตัวอย่างให้สาขา</v>
          </cell>
          <cell r="F317">
            <v>6.54</v>
          </cell>
        </row>
        <row r="318">
          <cell r="C318" t="str">
            <v>00025-62000000</v>
          </cell>
          <cell r="D318">
            <v>999999</v>
          </cell>
          <cell r="E318" t="str">
            <v>006149-คุณประมุข-ค่ารถจากสุขุมวิทไปเอกมัย วันที่ 05/06/05</v>
          </cell>
          <cell r="F318">
            <v>120</v>
          </cell>
        </row>
        <row r="319">
          <cell r="C319" t="str">
            <v>00025-61805050</v>
          </cell>
          <cell r="D319">
            <v>999999</v>
          </cell>
          <cell r="E319" t="str">
            <v>006149-คุณประมุช-ค่ารถทัวร์ไปกลับสาขาศรีราชาแหลมทอง ไปตรวจสาขา วันที่ 05/06/05</v>
          </cell>
          <cell r="F319">
            <v>143</v>
          </cell>
        </row>
        <row r="320">
          <cell r="C320" t="str">
            <v>00025-61805050</v>
          </cell>
          <cell r="D320">
            <v>999999</v>
          </cell>
          <cell r="E320" t="str">
            <v>006150-คุณประมุข-ค่าเบี้ยเลี้ยงตรวจสาขา SR,BS,SO และรับรปภ.ลงพื้นที่ใหม่ 2 สาขา SO,BS วันที่ 31/05/05,01/06/05 2 วันๆละ 160</v>
          </cell>
          <cell r="F320">
            <v>320</v>
          </cell>
        </row>
        <row r="321">
          <cell r="C321" t="str">
            <v>99999-11635104</v>
          </cell>
          <cell r="D321">
            <v>999999</v>
          </cell>
          <cell r="E321" t="str">
            <v>006151-คุณนัฐภัทร-CLEAR ADV.P04/008</v>
          </cell>
          <cell r="F321">
            <v>9</v>
          </cell>
        </row>
        <row r="322">
          <cell r="C322" t="str">
            <v>00073-61705150</v>
          </cell>
          <cell r="D322">
            <v>999999</v>
          </cell>
          <cell r="E322" t="str">
            <v>006152-คุณยุวลักษณ์-ค่าปากกาเน้นข้อความ,ปากกาสีน้ำ</v>
          </cell>
          <cell r="F322">
            <v>270.08999999999997</v>
          </cell>
        </row>
        <row r="323">
          <cell r="C323" t="str">
            <v>45110-11630060</v>
          </cell>
          <cell r="D323">
            <v>999999</v>
          </cell>
          <cell r="E323" t="str">
            <v>006152-คุณยุวลักษณ์-8168506</v>
          </cell>
          <cell r="F323">
            <v>18.91</v>
          </cell>
        </row>
        <row r="324">
          <cell r="C324" t="str">
            <v>00073-62920000</v>
          </cell>
          <cell r="D324">
            <v>999999</v>
          </cell>
          <cell r="E324" t="str">
            <v>006152-คุณยุวลักษณ์-ค่าบริการในการเดินพิธีการกรมศุลกากร</v>
          </cell>
          <cell r="F324">
            <v>265</v>
          </cell>
        </row>
        <row r="325">
          <cell r="C325" t="str">
            <v>45110-11630060</v>
          </cell>
          <cell r="D325">
            <v>999999</v>
          </cell>
          <cell r="E325" t="str">
            <v>006152-คุณยุวลักษณ์-0732514-กรมศุลกากร</v>
          </cell>
          <cell r="F325">
            <v>158</v>
          </cell>
        </row>
        <row r="326">
          <cell r="C326" t="str">
            <v>45110-11630060</v>
          </cell>
          <cell r="D326">
            <v>999999</v>
          </cell>
          <cell r="E326" t="str">
            <v>006152-คุณยุวลักษณ์-6977/174404-ดีเอชแอล เอ๊กซ์เพรส</v>
          </cell>
          <cell r="F326">
            <v>14</v>
          </cell>
        </row>
        <row r="327">
          <cell r="C327" t="str">
            <v>00073-61705150</v>
          </cell>
          <cell r="D327">
            <v>999999</v>
          </cell>
          <cell r="E327" t="str">
            <v>006152-คุณยุวลักษณ์-ค่า Laser Pointer สำหรับการ Present</v>
          </cell>
          <cell r="F327">
            <v>390</v>
          </cell>
        </row>
        <row r="328">
          <cell r="C328" t="str">
            <v>99999-11630251</v>
          </cell>
          <cell r="D328" t="str">
            <v>040123</v>
          </cell>
          <cell r="E328" t="str">
            <v>9/6/2005-#5220</v>
          </cell>
          <cell r="F328">
            <v>16370.5</v>
          </cell>
        </row>
        <row r="331">
          <cell r="C331" t="str">
            <v>00015-62000000</v>
          </cell>
          <cell r="D331">
            <v>999999</v>
          </cell>
          <cell r="E331" t="str">
            <v>006153-คุณรุ่งทิวา-ค่ารถจากHOไปกระทรวงสาธารณะสุขจากกระทรวงไปสาขาสายไหมเพื่อรับใบอนุญาตการผลิตTOPS</v>
          </cell>
          <cell r="F331">
            <v>258</v>
          </cell>
        </row>
        <row r="332">
          <cell r="C332" t="str">
            <v>00015-62000000</v>
          </cell>
          <cell r="D332">
            <v>999999</v>
          </cell>
          <cell r="E332" t="str">
            <v>006154-คุณรุ่งทิวา-ค่ารถเดินทางไป-กลับ HO-TOPSสายไหม,ค่ารถไป-กลับ HO-TOPSพหลโยธิน1เพื่อถ่ายรูปงานแก้ไข</v>
          </cell>
          <cell r="F332">
            <v>103</v>
          </cell>
        </row>
        <row r="333">
          <cell r="C333" t="str">
            <v>00004-62000000</v>
          </cell>
          <cell r="D333">
            <v>999999</v>
          </cell>
          <cell r="E333" t="str">
            <v>006155-คุณวรวรรณ-ค่ารถไปสถานีรถไฟดอนเมืองไปแยกลำลูกกาตรวจประเมินสาขาKS Apและจากราสมคำแหงไปสถานีสามเสนและจากนนท์บุรีไปสถานีสามเสนเพื่อประเมินสาขาKS AP วันที่6/6/48</v>
          </cell>
          <cell r="F333">
            <v>1077</v>
          </cell>
        </row>
        <row r="334">
          <cell r="C334" t="str">
            <v>00062-60141250</v>
          </cell>
          <cell r="D334">
            <v>999999</v>
          </cell>
          <cell r="E334" t="str">
            <v>006156-คุณสกุลตรา-ค่ารักษาพยาบาลรพ.เมโยวันที่2/6/48</v>
          </cell>
          <cell r="F334">
            <v>628</v>
          </cell>
        </row>
        <row r="335">
          <cell r="C335" t="str">
            <v>00062-62000000</v>
          </cell>
          <cell r="D335">
            <v>999999</v>
          </cell>
          <cell r="E335" t="str">
            <v>006157-คุณฐิติวรรณ-ค่ารถจากHOไปเซ็นทรัลสีลม+ทางด่วนเพื่อประชุมสหกรณ์ออมทรัพย์วันที่8/6/48</v>
          </cell>
          <cell r="F335">
            <v>165</v>
          </cell>
        </row>
        <row r="336">
          <cell r="C336" t="str">
            <v>00024-60141250</v>
          </cell>
          <cell r="D336">
            <v>999999</v>
          </cell>
          <cell r="E336" t="str">
            <v>006158-คุณพรทิพย์-ค่ารักษาพยาบาล รพ.เปาโล วันที่ 07/06/05</v>
          </cell>
          <cell r="F336">
            <v>547</v>
          </cell>
        </row>
        <row r="337">
          <cell r="C337" t="str">
            <v>00024-60141250</v>
          </cell>
          <cell r="D337">
            <v>999999</v>
          </cell>
          <cell r="E337" t="str">
            <v>006159-คุณพรทิพย์-ค่ารักษาพยาบาล รพ.วิชัยยุทธ วันที่ 08/06/05</v>
          </cell>
          <cell r="F337">
            <v>1242</v>
          </cell>
        </row>
        <row r="338">
          <cell r="C338" t="str">
            <v>00041-62000000</v>
          </cell>
          <cell r="D338">
            <v>999999</v>
          </cell>
          <cell r="E338" t="str">
            <v>006160-คุณวราภรณ์-ค่ารถไปกลับสนญ.-ไดมอนด์สแควร์ ที่โชคชัย 4 เรื่องสัญญาเช่า วันที่ 08/06/05</v>
          </cell>
          <cell r="F338">
            <v>200</v>
          </cell>
        </row>
        <row r="339">
          <cell r="C339" t="str">
            <v>00063-60141550</v>
          </cell>
          <cell r="D339">
            <v>999999</v>
          </cell>
          <cell r="E339" t="str">
            <v>006161-คุณวันดี-ค่าตุ๊กตาปูนเซรามิค ในงานแฟมิลี่เดย์</v>
          </cell>
          <cell r="F339">
            <v>800</v>
          </cell>
        </row>
        <row r="340">
          <cell r="C340" t="str">
            <v>00063-60143350</v>
          </cell>
          <cell r="D340">
            <v>999999</v>
          </cell>
          <cell r="E340" t="str">
            <v>006161-คุณวันดี-ค่าถุงหูหิ้วบรรจุของขวัญวันเกิด</v>
          </cell>
          <cell r="F340">
            <v>94.16</v>
          </cell>
        </row>
        <row r="341">
          <cell r="C341" t="str">
            <v>00063-60143350</v>
          </cell>
          <cell r="D341">
            <v>888888</v>
          </cell>
          <cell r="E341" t="str">
            <v>006161-คุณวันดี-Unclaimค่าถุงหูหิ้วบรรจุของขวัญวันเกิด</v>
          </cell>
          <cell r="F341">
            <v>6.59</v>
          </cell>
        </row>
        <row r="342">
          <cell r="C342" t="str">
            <v>00064-62000000</v>
          </cell>
          <cell r="D342">
            <v>999999</v>
          </cell>
          <cell r="E342" t="str">
            <v>006161/1-คุณนันทิมา-ค่ารถจากลาดพร้าว-บางกะปิ วันที่ 03/06/05 อยู่ควบคุมการทำงานของบ. KC มาทำระบบ Outlet</v>
          </cell>
          <cell r="F342">
            <v>300</v>
          </cell>
        </row>
        <row r="343">
          <cell r="C343" t="str">
            <v>00022-61915000</v>
          </cell>
          <cell r="D343">
            <v>999999</v>
          </cell>
          <cell r="E343" t="str">
            <v>006161/2-คุณสุจิตา-ค่าติดฟิลม์กรองแสง รถคุณสุจิตรา เพ็งอุ่น</v>
          </cell>
          <cell r="F343">
            <v>2996</v>
          </cell>
        </row>
        <row r="344">
          <cell r="C344" t="str">
            <v>00064-60900000</v>
          </cell>
          <cell r="D344">
            <v>999999</v>
          </cell>
          <cell r="E344" t="str">
            <v>006161/3-คุณอาทิตยา-ค่ากาแฟ,ครีม,น้ำตาล,โอวัลติน,ชา</v>
          </cell>
          <cell r="F344">
            <v>1772.9</v>
          </cell>
        </row>
        <row r="345">
          <cell r="C345" t="str">
            <v>00064-60900000</v>
          </cell>
          <cell r="D345">
            <v>888888</v>
          </cell>
          <cell r="E345" t="str">
            <v>006161/3--คุณอาทิตยา-Unclaimค่ากาแฟ,ครีม,น้ำตาล,โอวัลติน,ชา</v>
          </cell>
          <cell r="F345">
            <v>124.1</v>
          </cell>
        </row>
        <row r="346">
          <cell r="C346" t="str">
            <v>00092-62100100</v>
          </cell>
          <cell r="D346">
            <v>999999</v>
          </cell>
          <cell r="E346" t="str">
            <v>006161/4-คุณนันทิมา-ค่าซ่อมเก้าอี้คุณกฤษณะล้อหลุด 1 ล้อ</v>
          </cell>
          <cell r="F346">
            <v>100</v>
          </cell>
        </row>
        <row r="347">
          <cell r="C347" t="str">
            <v>45110-11630060</v>
          </cell>
          <cell r="D347">
            <v>999999</v>
          </cell>
          <cell r="E347" t="str">
            <v>006161/4-คุณนันทิมา-666/33280-สยามสตึสเฟอร์นิเจอร์</v>
          </cell>
          <cell r="F347">
            <v>7</v>
          </cell>
        </row>
        <row r="348">
          <cell r="C348" t="str">
            <v>00064-61420000</v>
          </cell>
          <cell r="D348">
            <v>999999</v>
          </cell>
          <cell r="E348" t="str">
            <v>006161/5-คุณชวลิต-ค่าส่งจดหมาย EMS 3 ชิ้น วันที่ 07/06/05</v>
          </cell>
          <cell r="F348">
            <v>120</v>
          </cell>
        </row>
        <row r="349">
          <cell r="C349" t="str">
            <v>00064-61420000</v>
          </cell>
          <cell r="D349">
            <v>999999</v>
          </cell>
          <cell r="E349" t="str">
            <v>006161/6-คุณชวลิต-ค่าซองกันกระแทก 2 ซองๆละ 15 บ.</v>
          </cell>
          <cell r="F349">
            <v>30</v>
          </cell>
        </row>
        <row r="350">
          <cell r="C350" t="str">
            <v>00025-62920000</v>
          </cell>
          <cell r="D350">
            <v>999999</v>
          </cell>
          <cell r="E350" t="str">
            <v>006161/7-คุณชวลิต-ค่าอากรแสตมป์ดวงละ 5 บาท 600 ดวง ใช้ดำเนินการด้านเอกสารติดต่อกับหน่วยงานราชการ</v>
          </cell>
          <cell r="F350">
            <v>3000</v>
          </cell>
        </row>
        <row r="351">
          <cell r="C351" t="str">
            <v>00021-60141250</v>
          </cell>
          <cell r="D351">
            <v>999999</v>
          </cell>
          <cell r="E351" t="str">
            <v>006162-คุณสุมามาลย์-ค่ารักษาพยาบาล รพ.เวชธานี วันที่3/6/48</v>
          </cell>
          <cell r="F351">
            <v>817</v>
          </cell>
        </row>
        <row r="352">
          <cell r="C352" t="str">
            <v>26990-63025000</v>
          </cell>
          <cell r="D352">
            <v>999999</v>
          </cell>
          <cell r="E352" t="str">
            <v>006166-คุณพุทฑรัก-ค่าชดเชยช็อกโกแลตละลายที่สาขาสุขุมวิท 19 วันที่ 03/05/05</v>
          </cell>
          <cell r="F352">
            <v>489.5</v>
          </cell>
        </row>
        <row r="353">
          <cell r="C353" t="str">
            <v>00017-60141250</v>
          </cell>
          <cell r="D353">
            <v>999999</v>
          </cell>
          <cell r="E353" t="str">
            <v>006167-คุณลักษณบุล-ค่ารักษาพยาบาล รพ.กรุงเทพ วันที่5/6/48</v>
          </cell>
          <cell r="F353">
            <v>699</v>
          </cell>
        </row>
        <row r="354">
          <cell r="C354" t="str">
            <v>00047-62000000</v>
          </cell>
          <cell r="D354">
            <v>999999</v>
          </cell>
          <cell r="E354" t="str">
            <v>006168-คุณอินทิรา-ค่ารถประเมินสาขาPSสีลม</v>
          </cell>
          <cell r="F354">
            <v>134</v>
          </cell>
        </row>
        <row r="355">
          <cell r="C355" t="str">
            <v>00022-60141250</v>
          </cell>
          <cell r="D355">
            <v>999999</v>
          </cell>
          <cell r="E355" t="str">
            <v>006169-คุณเจริญศรี-ค่ารักษาพยาบาล รพ.พญาไท3 วันที่8/6/48</v>
          </cell>
          <cell r="F355">
            <v>1617</v>
          </cell>
        </row>
        <row r="356">
          <cell r="C356" t="str">
            <v>00021-60141250</v>
          </cell>
          <cell r="D356">
            <v>999999</v>
          </cell>
          <cell r="E356" t="str">
            <v>006170-คุณสุมามาลย์-ค่ารักษาพยาบาล รพ.เวชธานี วันที่8/6/48</v>
          </cell>
          <cell r="F356">
            <v>699.25</v>
          </cell>
        </row>
        <row r="357">
          <cell r="C357" t="str">
            <v>00047-62000000</v>
          </cell>
          <cell r="D357">
            <v>999999</v>
          </cell>
          <cell r="E357" t="str">
            <v>006171-คุณทศพร-ค่ารถไปกลับตรวจสาขาโชคชัย 4 วันที่ 09/06/05</v>
          </cell>
          <cell r="F357">
            <v>188</v>
          </cell>
        </row>
        <row r="358">
          <cell r="C358" t="str">
            <v>00027-62000000</v>
          </cell>
          <cell r="D358">
            <v>999999</v>
          </cell>
          <cell r="E358" t="str">
            <v>006172-คุณสุทธิพงษ์-ค่ารถพนักงานเช็คสต็อกสาขาสายไหม,พรานนก วันที่ 03/06/05,บางนา วันที่ 05/06/05,นวมินทร์,พลาซ่าลากูน วันที่ 06/06/05,ลาดหญ้า วันที่ 07/06/05</v>
          </cell>
          <cell r="F358">
            <v>4200</v>
          </cell>
        </row>
        <row r="359">
          <cell r="C359" t="str">
            <v>00027-62000000</v>
          </cell>
          <cell r="D359">
            <v>999999</v>
          </cell>
          <cell r="E359" t="str">
            <v>006173-คุณสุทธิพงษ์-ค่ารถแท็กซี่ส่งเครื่อง PDT ไปยังสาขาพรานนก 03/06/05,สายไหม 03/06/05, พรานนก,สายไหม-บางนา 04/06/05 ,</v>
          </cell>
          <cell r="F359">
            <v>843</v>
          </cell>
        </row>
        <row r="360">
          <cell r="C360" t="str">
            <v>00062-62000000</v>
          </cell>
          <cell r="D360">
            <v>999999</v>
          </cell>
          <cell r="E360" t="str">
            <v>006174-คุณเพ็ญศรี-ค่ารถ+ทางด่วนไปสาขาเซ็นหลุยส์+ที่จอดรถสาขาลาดหญ้าเพื่อรับพนักงานวันที่3.8-7/6/48</v>
          </cell>
          <cell r="F360">
            <v>1240</v>
          </cell>
        </row>
        <row r="361">
          <cell r="C361" t="str">
            <v>00062-61805050</v>
          </cell>
          <cell r="D361">
            <v>999999</v>
          </cell>
          <cell r="E361" t="str">
            <v>006174-คุณเพ็ญศรี-ค่ารถจากสนามบินสมุยกลับที่พัก(ที่สมุย)ค่าภาษีสนามบินสมุยขากลับวันที่4/6/48</v>
          </cell>
          <cell r="F361">
            <v>400</v>
          </cell>
        </row>
        <row r="362">
          <cell r="C362" t="str">
            <v>00011-60141250</v>
          </cell>
          <cell r="D362">
            <v>999999</v>
          </cell>
          <cell r="E362" t="str">
            <v>006175-คุณกลอรี่-ค่ารักษาพยาบาล รพ.เมโย วันที่9/6/48</v>
          </cell>
          <cell r="F362">
            <v>689</v>
          </cell>
        </row>
        <row r="363">
          <cell r="C363" t="str">
            <v>00024-62000000</v>
          </cell>
          <cell r="D363">
            <v>999999</v>
          </cell>
          <cell r="E363" t="str">
            <v>006176-คุณศิวพร-ค่ารถไปตรวจเยี่ยมสาขาRCAและโชคชัย4-กลับลาดพร้าววันที่9/6/48</v>
          </cell>
          <cell r="F363">
            <v>270</v>
          </cell>
        </row>
        <row r="364">
          <cell r="C364" t="str">
            <v>00024-62000000</v>
          </cell>
          <cell r="D364">
            <v>999999</v>
          </cell>
          <cell r="E364" t="str">
            <v>006177-คุณชวนพิศ-ค่ารถจากลาดพร้าวไปประชุมสาขาประชาอุทิศ วันที่8/6/48</v>
          </cell>
          <cell r="F364">
            <v>235</v>
          </cell>
        </row>
        <row r="365">
          <cell r="C365" t="str">
            <v>00024-62000000</v>
          </cell>
          <cell r="D365">
            <v>999999</v>
          </cell>
          <cell r="E365" t="str">
            <v>006178-คุณธนิศรา-ค่ารถจากHOไป-กลับNLเพื่อตรวจเยี่ยมสาขา วันที่10/6/48</v>
          </cell>
          <cell r="F365">
            <v>370</v>
          </cell>
        </row>
        <row r="366">
          <cell r="C366" t="str">
            <v>00045-63050000</v>
          </cell>
          <cell r="D366">
            <v>999999</v>
          </cell>
          <cell r="E366" t="str">
            <v>006179-คุณมนฑิรา-ค่าแยกสลิปบัตรเครดิตวันที่26.27,30วันละ250*3</v>
          </cell>
          <cell r="F366">
            <v>750</v>
          </cell>
        </row>
        <row r="367">
          <cell r="C367" t="str">
            <v>00054-62000000</v>
          </cell>
          <cell r="D367">
            <v>999999</v>
          </cell>
          <cell r="E367" t="str">
            <v>006180-คุณอรวรรณ-ค่ารถลาดพร้าว-ไปโลตัสหลักสี่,คาร์ฟูร์ลาดพร้าว,เดอะมอลลืบางกะปิ สำรวจคู่แข่ง</v>
          </cell>
          <cell r="F367">
            <v>436</v>
          </cell>
        </row>
        <row r="368">
          <cell r="C368" t="str">
            <v>00024-60141250</v>
          </cell>
          <cell r="D368">
            <v>999999</v>
          </cell>
          <cell r="E368" t="str">
            <v>006181-คุณมุรธา-ค่ารักษาพยาบาล รพ.เปาโลวันที่12/4/48</v>
          </cell>
          <cell r="F368">
            <v>1603</v>
          </cell>
        </row>
        <row r="369">
          <cell r="C369" t="str">
            <v>00005-62000000</v>
          </cell>
          <cell r="D369">
            <v>999999</v>
          </cell>
          <cell r="E369" t="str">
            <v>006182-คุณกันตนา-ค่ารถไปสาขารัตนาธิเบศร์ดูพื้นที่สาขาที่จะปรับปรุงและไปเดอะมออล์งามวงศ์วาน</v>
          </cell>
          <cell r="F369">
            <v>328</v>
          </cell>
        </row>
        <row r="370">
          <cell r="C370" t="str">
            <v>00005-62000000</v>
          </cell>
          <cell r="D370">
            <v>999999</v>
          </cell>
          <cell r="E370" t="str">
            <v>006183-คุณจันทจิรา-ค่ารถไปสาขาตลิ่งชันเพื่อวัดพื้นที่สาขาวันที่6/6/48</v>
          </cell>
          <cell r="F370">
            <v>384</v>
          </cell>
        </row>
        <row r="371">
          <cell r="C371" t="str">
            <v>00017-62000000</v>
          </cell>
          <cell r="D371">
            <v>999999</v>
          </cell>
          <cell r="E371" t="str">
            <v>006184-คุณวัฒนา-ค่ารถไปอบรมและดูงานที่ FDC วันที่7-8/6/48</v>
          </cell>
          <cell r="F371">
            <v>388</v>
          </cell>
        </row>
        <row r="372">
          <cell r="C372" t="str">
            <v>00042-62000000</v>
          </cell>
          <cell r="D372">
            <v>999999</v>
          </cell>
          <cell r="E372" t="str">
            <v>006185-คุณวรางคณา-ค่ารถแท็กซี่ไปกลับเซ็นทรับชิดลม ไปสรรพากรซอยอารีย์ยื่น ภพ.09</v>
          </cell>
          <cell r="F372">
            <v>140</v>
          </cell>
        </row>
        <row r="373">
          <cell r="C373" t="str">
            <v>99999-11630251</v>
          </cell>
          <cell r="D373" t="str">
            <v>040123</v>
          </cell>
          <cell r="E373" t="str">
            <v>10/6/2005-#5280</v>
          </cell>
          <cell r="F373">
            <v>30490.5</v>
          </cell>
        </row>
        <row r="376">
          <cell r="C376" t="str">
            <v>00004-62000000</v>
          </cell>
          <cell r="D376">
            <v>999999</v>
          </cell>
          <cell r="E376" t="str">
            <v>006186-คุณรัศมี-ค่ารถไปกรมวิทย์เพื่อนำไป Ceetificate,ค่ารถไปปากน้ำเพื่อตรวจประเมิน,ค่าทางด่วน วันที่ 10/06/05</v>
          </cell>
          <cell r="F376">
            <v>1971</v>
          </cell>
        </row>
        <row r="377">
          <cell r="C377" t="str">
            <v>00013-60141250</v>
          </cell>
          <cell r="D377">
            <v>999999</v>
          </cell>
          <cell r="E377" t="str">
            <v>006187-K.Rossukol-ค่ารักษาพยาบาล รพ.วิชัยยุทธ วันที่ 09/06/05</v>
          </cell>
          <cell r="F377">
            <v>1463</v>
          </cell>
        </row>
        <row r="378">
          <cell r="C378" t="str">
            <v>00054-62000000</v>
          </cell>
          <cell r="D378">
            <v>999999</v>
          </cell>
          <cell r="E378" t="str">
            <v>006188-คุณสุกัญญา-ค่ารถไปสำรวจราคาคู่แข่งขันที่เดอะมอลล์งามวงศ์งาน,โลตัสสะพานใหม่,ฟู้ดแลนด์,วิลล่าเอ็มโพเรียม,บิ๊กซีสะพานควาย,คาร์ฟูร์รังสิต วันที่ 06-10/06/05 คุณพรรษา,คุณสุภาพร,คุณชลธิชา</v>
          </cell>
          <cell r="F378">
            <v>2240</v>
          </cell>
        </row>
        <row r="379">
          <cell r="C379" t="str">
            <v>00054-62000000</v>
          </cell>
          <cell r="D379">
            <v>999999</v>
          </cell>
          <cell r="E379" t="str">
            <v>006189-คุณอัญชนา-ค่ารถไปสำรวจราคาคู่แข่งขันที่เดอะมอลล์งามวงศ์งาน,โลตัสสะพานใหม่,ฟู้ดแลนด์,วิลล่าเอ็มโพเรียม,บิ๊กซีสะพานควาย,คาร์ฟูร์รังสิต วันที่ 06-10/06/05 คุณปรีชา,คุณณัฐธัญ,คุณปนิดา,คุณดวงพร</v>
          </cell>
          <cell r="F379">
            <v>2240</v>
          </cell>
        </row>
        <row r="380">
          <cell r="C380" t="str">
            <v>81200-60141250</v>
          </cell>
          <cell r="D380">
            <v>999999</v>
          </cell>
          <cell r="E380" t="str">
            <v>006190-คุณชัชสรัญ-ค่ารักษาพยาบาล รพ.วิภาวดี วันที่ 06/06/05 สาขา DC</v>
          </cell>
          <cell r="F380">
            <v>585</v>
          </cell>
        </row>
        <row r="381">
          <cell r="C381" t="str">
            <v>99999-11635104</v>
          </cell>
          <cell r="D381">
            <v>999999</v>
          </cell>
          <cell r="E381" t="str">
            <v>006191-คุณกันย์ติมาต-Clear Adv. P04/001</v>
          </cell>
          <cell r="F381">
            <v>295</v>
          </cell>
        </row>
        <row r="382">
          <cell r="C382" t="str">
            <v>00052-60141250</v>
          </cell>
          <cell r="D382">
            <v>999999</v>
          </cell>
          <cell r="E382" t="str">
            <v>006192-คุณพิศิษฐ์-ค่ารักษาพยาบาล รพ.ตาหูคอจมูกวันที่26/5/48,3/6/48</v>
          </cell>
          <cell r="F382">
            <v>998</v>
          </cell>
        </row>
        <row r="383">
          <cell r="C383" t="str">
            <v>00043-60141550</v>
          </cell>
          <cell r="D383">
            <v>999999</v>
          </cell>
          <cell r="E383" t="str">
            <v>006194-คุณเมตตา-ค่าของขวัญการมีบุตร</v>
          </cell>
          <cell r="F383">
            <v>400</v>
          </cell>
        </row>
        <row r="384">
          <cell r="C384" t="str">
            <v>00051-62000000</v>
          </cell>
          <cell r="D384">
            <v>999999</v>
          </cell>
          <cell r="E384" t="str">
            <v>006193/1-คุณจิตติพร-ค่ารถไป-กลับเซียร์-ลาดพร้าว+ทางด่วนวันที่18/5/48</v>
          </cell>
          <cell r="F384">
            <v>384</v>
          </cell>
        </row>
        <row r="385">
          <cell r="C385" t="str">
            <v>00051-61200000</v>
          </cell>
          <cell r="D385">
            <v>999999</v>
          </cell>
          <cell r="E385" t="str">
            <v>006193/1-คุณจิตติพร-ค่าส่งจดหมายให้ลูกค้ารูปงานดูเม็กซ์ ,ค่าส่งพัสดุให้ลูกค้าผลิตภัณฑ์พอนด์</v>
          </cell>
          <cell r="F385">
            <v>151.94</v>
          </cell>
        </row>
        <row r="386">
          <cell r="C386" t="str">
            <v>45110-11630060</v>
          </cell>
          <cell r="D386">
            <v>999999</v>
          </cell>
          <cell r="E386" t="str">
            <v>006193/1S.vat#187/9306บจก.โพสท์เน็ท(ไทยแลนด์)</v>
          </cell>
          <cell r="F386">
            <v>0.92</v>
          </cell>
        </row>
        <row r="387">
          <cell r="C387" t="str">
            <v>00051-60900000</v>
          </cell>
          <cell r="D387">
            <v>999999</v>
          </cell>
          <cell r="E387" t="str">
            <v>006193/1-คุณจิตติพร-ค่าอัดรูปส่งข่าวเปิดงานจันทบุรี,เซียร์รังสิต</v>
          </cell>
          <cell r="F387">
            <v>265.43</v>
          </cell>
        </row>
        <row r="388">
          <cell r="C388" t="str">
            <v>45110-11630060</v>
          </cell>
          <cell r="D388">
            <v>999999</v>
          </cell>
          <cell r="E388" t="str">
            <v>006193/1-S.vat#919/45942 = 14.13,919/45939 = 4.44</v>
          </cell>
          <cell r="F388">
            <v>18.57</v>
          </cell>
        </row>
        <row r="389">
          <cell r="C389" t="str">
            <v>45110-11630060</v>
          </cell>
          <cell r="D389">
            <v>999999</v>
          </cell>
          <cell r="E389" t="str">
            <v>006193/1S.vat#186/9300บจก.โพสท์เน็ท(ไทยแลนด์)</v>
          </cell>
          <cell r="F389">
            <v>3.14</v>
          </cell>
        </row>
        <row r="390">
          <cell r="C390" t="str">
            <v>00047-62000000</v>
          </cell>
          <cell r="D390">
            <v>999999</v>
          </cell>
          <cell r="E390" t="str">
            <v>006195-คุณยุทธนา-ค่ารถไป-กลับสาขาศรีย่าน เพื่อตรวจสาขาวันที่9-10/6/48</v>
          </cell>
          <cell r="F390">
            <v>240</v>
          </cell>
        </row>
        <row r="391">
          <cell r="C391" t="str">
            <v>00047-62000000</v>
          </cell>
          <cell r="D391">
            <v>999999</v>
          </cell>
          <cell r="E391" t="str">
            <v>006196-คุณยุทธนา-ค่ารถไป-กลับสาขาศรีลม คอมฯและสาขาบางรัก วันที่2/2/4 2/3/48</v>
          </cell>
          <cell r="F391">
            <v>536</v>
          </cell>
        </row>
        <row r="392">
          <cell r="C392" t="str">
            <v>00047-62000000</v>
          </cell>
          <cell r="D392">
            <v>999999</v>
          </cell>
          <cell r="E392" t="str">
            <v>006197-คุณทศพร -ค่ารถไป-กลับ เกษตร-สำนักงานใหญ่เพื่อตรวจสาขา</v>
          </cell>
          <cell r="F392">
            <v>140</v>
          </cell>
        </row>
        <row r="393">
          <cell r="C393" t="str">
            <v>00017-62000000</v>
          </cell>
          <cell r="D393">
            <v>999999</v>
          </cell>
          <cell r="E393" t="str">
            <v>006198-คุณชนาพร-ค่ารถไป-กลับสาขาชิดลมเพื่อจัดเรียงสินค้าวันที่9-10/6/48</v>
          </cell>
          <cell r="F393">
            <v>305</v>
          </cell>
        </row>
        <row r="394">
          <cell r="C394" t="str">
            <v>00047-62000000</v>
          </cell>
          <cell r="D394">
            <v>999999</v>
          </cell>
          <cell r="E394" t="str">
            <v>006199-คุณวรรณดี-ค่ารถไป-กลับ สนง.-วังบูรพา วันที่10/6/48เพื่อตรวจสาขา</v>
          </cell>
          <cell r="F394">
            <v>258</v>
          </cell>
        </row>
        <row r="395">
          <cell r="C395" t="str">
            <v>00052-62000000</v>
          </cell>
          <cell r="D395">
            <v>999999</v>
          </cell>
          <cell r="E395" t="str">
            <v>006193/2-คุณฐิตพล-ค่ารถไปดูงานBangkoic Fruit Fest  ที่บางกะปิ และเดินทางไปดู EVANT ที่ชิดลม และเดินทางไปสถานีสามเสนเพื่อไปสมุยลำปดุงานที่ชิดลม ปิ่นเกล้า สามเสน</v>
          </cell>
          <cell r="F395">
            <v>1571</v>
          </cell>
        </row>
        <row r="396">
          <cell r="C396" t="str">
            <v>00052-61805050</v>
          </cell>
          <cell r="D396">
            <v>999999</v>
          </cell>
          <cell r="E396" t="str">
            <v>006193/2-คุณฐิตพล-ค่าเบี้ยเลี้ยงไปทำงานสมุยวันที่24-26/5/483*200</v>
          </cell>
          <cell r="F396">
            <v>600</v>
          </cell>
        </row>
        <row r="397">
          <cell r="C397" t="str">
            <v>00052-62000000</v>
          </cell>
          <cell r="D397">
            <v>999999</v>
          </cell>
          <cell r="E397" t="str">
            <v>006193/3-คุณปฏิพงษ์-ค่ารถไป-กลับลาพร้าวไปสถานีรถไฟสามเสน,ค่ารถไปรับของตกแต่งใช้เปิดงานสมุยจากประชานิเวศน์-ลาดพร้าว</v>
          </cell>
          <cell r="F397">
            <v>290</v>
          </cell>
        </row>
        <row r="398">
          <cell r="C398" t="str">
            <v>00052-61800000</v>
          </cell>
          <cell r="D398">
            <v>999999</v>
          </cell>
          <cell r="E398" t="str">
            <v>006193/3-คุณปฏิพงษ์-ค่าเบี้ยเลี้ยงไปทำงานสาขาสมุย200*3</v>
          </cell>
          <cell r="F398">
            <v>600</v>
          </cell>
        </row>
        <row r="399">
          <cell r="C399" t="str">
            <v>00052-61805050</v>
          </cell>
          <cell r="D399">
            <v>999999</v>
          </cell>
          <cell r="E399" t="str">
            <v>006193/3-คุณปฏิพงษ์-ค่าจ้างรถตกแต่งเปิดร้านสาขาสมุย2วัน400*2</v>
          </cell>
          <cell r="F399">
            <v>800</v>
          </cell>
        </row>
        <row r="400">
          <cell r="C400" t="str">
            <v>00051-62000000</v>
          </cell>
          <cell r="D400">
            <v>999999</v>
          </cell>
          <cell r="E400" t="str">
            <v>006193/4-คุณจิตติพร-ค่ารถไป-กลับปากเกร็ด-สถานีรถไฟสามเสน-ปากเกร็ดเพื่อเดินทางไปเปิดสาขาสมุย 23-27/5/48ค่ารถไป-กลับลาดพร้าว+กระทรวงเกษตร</v>
          </cell>
          <cell r="F400">
            <v>590</v>
          </cell>
        </row>
        <row r="401">
          <cell r="C401" t="str">
            <v>00051-61805050</v>
          </cell>
          <cell r="D401">
            <v>999999</v>
          </cell>
          <cell r="E401" t="str">
            <v>006193/4-คุณจิตติพร-ค่าเบี้ยเลี้ยงไปช่วยเปิดสาขาสมุย</v>
          </cell>
          <cell r="F401">
            <v>800</v>
          </cell>
        </row>
        <row r="402">
          <cell r="C402" t="str">
            <v>00051-60900000</v>
          </cell>
          <cell r="D402">
            <v>999999</v>
          </cell>
          <cell r="E402" t="str">
            <v>006193/4-คุณจิตติพร-ค่าอัดรูปส่งข่าว</v>
          </cell>
          <cell r="F402">
            <v>257.94</v>
          </cell>
        </row>
        <row r="403">
          <cell r="C403" t="str">
            <v>45110-11630060</v>
          </cell>
          <cell r="D403">
            <v>999999</v>
          </cell>
          <cell r="E403" t="str">
            <v>006193/4-Svat#086874บจก.เพาเวอร์บายค่าอัดรูป</v>
          </cell>
          <cell r="F403">
            <v>18.059999999999999</v>
          </cell>
        </row>
        <row r="404">
          <cell r="C404" t="str">
            <v>00051-60900000</v>
          </cell>
          <cell r="D404">
            <v>999999</v>
          </cell>
          <cell r="E404" t="str">
            <v>006193/4-คุณจิตติพร-ค่าโบว์จัดกระเช้า</v>
          </cell>
          <cell r="F404">
            <v>271.02999999999997</v>
          </cell>
        </row>
        <row r="405">
          <cell r="C405" t="str">
            <v>45110-11630060</v>
          </cell>
          <cell r="D405">
            <v>999999</v>
          </cell>
          <cell r="E405" t="str">
            <v>006193/4-S.Vat#054001547บจก.สรรพสินค้าเซ็นทรัลสาขาลาดพร้าว</v>
          </cell>
          <cell r="F405">
            <v>18.97</v>
          </cell>
        </row>
        <row r="406">
          <cell r="C406" t="str">
            <v>00043-60141250</v>
          </cell>
          <cell r="D406">
            <v>999999</v>
          </cell>
          <cell r="E406" t="str">
            <v>006200-คุณรัชนี-ค่ารักษาพยาบาล รพ.เมโยวันที่7/6/48</v>
          </cell>
          <cell r="F406">
            <v>2192</v>
          </cell>
        </row>
        <row r="407">
          <cell r="C407" t="str">
            <v>00052-62000000</v>
          </cell>
          <cell r="D407">
            <v>999999</v>
          </cell>
          <cell r="E407" t="str">
            <v>006193/5-คุณฐิตพล-ค่ารถไปดูงานEvant คู่แข่งงานมะพร้าวที่เดอะมอลล์บางกะปิวันที่3/6/48</v>
          </cell>
          <cell r="F407">
            <v>120</v>
          </cell>
        </row>
        <row r="408">
          <cell r="C408" t="str">
            <v>00027-62000000</v>
          </cell>
          <cell r="D408">
            <v>999999</v>
          </cell>
          <cell r="E408" t="str">
            <v>006201-คุณสิทธิ์พงษ์-ค่ารถช่วยงานสาขาเซ็นหลุยส์</v>
          </cell>
          <cell r="F408">
            <v>135</v>
          </cell>
        </row>
        <row r="409">
          <cell r="C409" t="str">
            <v>00027-62000000</v>
          </cell>
          <cell r="D409">
            <v>999999</v>
          </cell>
          <cell r="E409" t="str">
            <v>006202-คุณสิทธิ์พงษ์-ค่ารถส่งเครื่อง PDTเช็คสต๊อคสาขาบางนา นวมินทร์ พลาซ่าลากูน ลาดหญ้า มาบุญครอง</v>
          </cell>
          <cell r="F409">
            <v>671</v>
          </cell>
        </row>
        <row r="410">
          <cell r="C410" t="str">
            <v>00052-60205250</v>
          </cell>
          <cell r="D410">
            <v>999999</v>
          </cell>
          <cell r="E410" t="str">
            <v>006193/6-คุณสุวรรณี-ค่าหมึกสีสำหรับปริ๊นสีใช้งานในสื่อโฆษณา</v>
          </cell>
          <cell r="F410">
            <v>2590</v>
          </cell>
        </row>
        <row r="411">
          <cell r="C411" t="str">
            <v>00052-60205250</v>
          </cell>
          <cell r="D411">
            <v>999999</v>
          </cell>
          <cell r="E411" t="str">
            <v>006193/7-คุณวรรธิดา-ค่าสินค้าถ่ายรูป MKP27-30 เบน&amp;เจอร์รีส</v>
          </cell>
          <cell r="F411">
            <v>265.42</v>
          </cell>
        </row>
        <row r="412">
          <cell r="C412" t="str">
            <v>00052-60205250</v>
          </cell>
          <cell r="D412">
            <v>888888</v>
          </cell>
          <cell r="E412" t="str">
            <v>006193/7-Unclame vat-คุณวรรธิดา-ค่าสินค้าถ่ายรูป MKP27-30 เบน&amp;เจอร์รีส</v>
          </cell>
          <cell r="F412">
            <v>18.579999999999998</v>
          </cell>
        </row>
        <row r="413">
          <cell r="C413" t="str">
            <v>00051-62000000</v>
          </cell>
          <cell r="D413">
            <v>999999</v>
          </cell>
          <cell r="E413" t="str">
            <v>006193/8-คุณจิตติพร-ค่ารถไป-กลับ นสพ.ประชาชาติวัดเสมียนนารี-ลาดพร้าว</v>
          </cell>
          <cell r="F413">
            <v>140</v>
          </cell>
        </row>
        <row r="414">
          <cell r="C414" t="str">
            <v>00092-62000000</v>
          </cell>
          <cell r="D414">
            <v>999999</v>
          </cell>
          <cell r="E414" t="str">
            <v>006203-คุณอนันต์-ค่ารถจากHO-เกษคร-ทองหล่อ -สุขุมวิท41เพื่อลงโปรแกรม POS Ho-แฟชั่นไอแลนด์-ริเวอร์พลาซ่าเพื่อเปลี่ยนโปรแกรมสติกเกอร์</v>
          </cell>
          <cell r="F414">
            <v>1368</v>
          </cell>
        </row>
        <row r="415">
          <cell r="C415" t="str">
            <v>00095-62000000</v>
          </cell>
          <cell r="D415">
            <v>999999</v>
          </cell>
          <cell r="E415" t="str">
            <v>006204-คุณอนันต์-ค่ารถจากHO-บางรัก -สุขุมวิท19 รัตนาธิเบศร์-สุขาภิบาล3 เพื่อข้ายออฟฟิศวันที่9/6/48</v>
          </cell>
          <cell r="F415">
            <v>827</v>
          </cell>
        </row>
        <row r="416">
          <cell r="C416" t="str">
            <v>00052-60900000</v>
          </cell>
          <cell r="D416">
            <v>999999</v>
          </cell>
          <cell r="E416" t="str">
            <v>006193/9-คุณอนันต์-ค่าScan cdงานเปิดสาขาเซียร์รังสิต</v>
          </cell>
          <cell r="F416">
            <v>140.19</v>
          </cell>
        </row>
        <row r="417">
          <cell r="C417" t="str">
            <v>45110-11630060</v>
          </cell>
          <cell r="D417">
            <v>999999</v>
          </cell>
          <cell r="E417" t="str">
            <v>006193/9S.vat#197/9818บจก.เอแอนด์บีดิจิตอลแล็บ</v>
          </cell>
          <cell r="F417">
            <v>9.81</v>
          </cell>
        </row>
        <row r="418">
          <cell r="C418" t="str">
            <v>00051-60900000</v>
          </cell>
          <cell r="D418">
            <v>999999</v>
          </cell>
          <cell r="E418" t="str">
            <v>006193/8-คุณจิตติพร-ค่าโบว์ติดของขวัญนักข่าว</v>
          </cell>
          <cell r="F418">
            <v>275.7</v>
          </cell>
        </row>
        <row r="419">
          <cell r="C419" t="str">
            <v>45110-11630060</v>
          </cell>
          <cell r="D419">
            <v>999999</v>
          </cell>
          <cell r="E419" t="str">
            <v>006193/8-S.vat#สพรรสินค้าเซ็นทรัล</v>
          </cell>
          <cell r="F419">
            <v>19.3</v>
          </cell>
        </row>
        <row r="420">
          <cell r="C420" t="str">
            <v>00051-60900000</v>
          </cell>
          <cell r="D420">
            <v>999999</v>
          </cell>
          <cell r="E420" t="str">
            <v>006193/8-คุณฐิตติพร-ค่าเวทโรสให้ผู้สื่อข่าวทดลองในงานแถลงข่าว</v>
          </cell>
          <cell r="F420">
            <v>319.63</v>
          </cell>
        </row>
        <row r="421">
          <cell r="C421" t="str">
            <v>00051-60900000</v>
          </cell>
          <cell r="D421">
            <v>888888</v>
          </cell>
          <cell r="E421" t="str">
            <v>006193/8Unc vat ค่าเวทโทรส</v>
          </cell>
          <cell r="F421">
            <v>22.37</v>
          </cell>
        </row>
        <row r="422">
          <cell r="C422" t="str">
            <v>00044-62000000</v>
          </cell>
          <cell r="D422">
            <v>999999</v>
          </cell>
          <cell r="E422" t="str">
            <v>006205-คุณชิดานาถ-ค่ารถเพื่อปฏิบัติงานวันที่19/5/48.1-3/6/48,11/6/48</v>
          </cell>
          <cell r="F422">
            <v>2196</v>
          </cell>
        </row>
        <row r="423">
          <cell r="C423" t="str">
            <v>00018-60205250</v>
          </cell>
          <cell r="D423">
            <v>999999</v>
          </cell>
          <cell r="E423" t="str">
            <v>006206-คุณไพโรจน์-ค่าสินค้าถ่ายรูปโฆษณา</v>
          </cell>
          <cell r="F423">
            <v>450</v>
          </cell>
        </row>
        <row r="424">
          <cell r="C424" t="str">
            <v>00018-62000000</v>
          </cell>
          <cell r="D424">
            <v>999999</v>
          </cell>
          <cell r="E424" t="str">
            <v>006207-คุณไพโรจน์-ค่ารถไปSerwayคุ่แข่งLP-ไปเดอะมอลล์บางกะปิ สุขสวัสดิ์26-ตลาดปากคลองตลาด-ตลาดมหานาค กระทรวงเกษตรและสหกรณ์วันที่7-9/6/48</v>
          </cell>
          <cell r="F424">
            <v>680</v>
          </cell>
        </row>
        <row r="425">
          <cell r="C425" t="str">
            <v>00016-61100000</v>
          </cell>
          <cell r="D425">
            <v>999999</v>
          </cell>
          <cell r="E425" t="str">
            <v>006208-คุณนันท์ธนา-ค่าสินค้าตัวอย่างเพื่อทดสอบ</v>
          </cell>
          <cell r="F425">
            <v>71.03</v>
          </cell>
        </row>
        <row r="426">
          <cell r="C426" t="str">
            <v>00016-61100000</v>
          </cell>
          <cell r="D426">
            <v>888888</v>
          </cell>
          <cell r="E426" t="str">
            <v>006208-Un vat ค่าสินค้าตัวอย่าง</v>
          </cell>
          <cell r="F426">
            <v>4.97</v>
          </cell>
        </row>
        <row r="427">
          <cell r="C427" t="str">
            <v>00016-62000000</v>
          </cell>
          <cell r="D427">
            <v>999999</v>
          </cell>
          <cell r="E427" t="str">
            <v>006209-คุณนันท์ธนา-ค่ารถจากLP-CLไปSerway</v>
          </cell>
          <cell r="F427">
            <v>62</v>
          </cell>
        </row>
        <row r="428">
          <cell r="C428" t="str">
            <v>00063-60141250</v>
          </cell>
          <cell r="D428">
            <v>999999</v>
          </cell>
          <cell r="E428" t="str">
            <v>006210-คุณอริน-ค่ารักษาพยาบาล รพ.สมิติเวช สุขุมวิท วันที่ 1460.50</v>
          </cell>
          <cell r="F428">
            <v>1460.5</v>
          </cell>
        </row>
        <row r="429">
          <cell r="C429" t="str">
            <v>0004-611000000</v>
          </cell>
          <cell r="D429">
            <v>999999</v>
          </cell>
          <cell r="E429" t="str">
            <v>006211-คุณอมรรัตน์-ค่า PRODUCT Testing on June</v>
          </cell>
          <cell r="F429">
            <v>588.79999999999995</v>
          </cell>
        </row>
        <row r="430">
          <cell r="C430" t="str">
            <v>0004-611000000</v>
          </cell>
          <cell r="D430">
            <v>999999</v>
          </cell>
          <cell r="E430" t="str">
            <v>006211-คุณอมรรัตน์-Uncleaimค่า PRODUCT Testing on June</v>
          </cell>
          <cell r="F430">
            <v>39.450000000000003</v>
          </cell>
        </row>
        <row r="431">
          <cell r="C431" t="str">
            <v>99999-11630251</v>
          </cell>
          <cell r="D431" t="str">
            <v>040123</v>
          </cell>
          <cell r="E431" t="str">
            <v>13/6/2005-#5346</v>
          </cell>
          <cell r="F431">
            <v>32978.75</v>
          </cell>
        </row>
        <row r="434">
          <cell r="C434" t="str">
            <v>00027-62000000</v>
          </cell>
          <cell r="D434">
            <v>999999</v>
          </cell>
          <cell r="E434" t="str">
            <v>006212-คุณเดือนเพ็ญ-ค่ารถไปกลับสาขานวมินทร์เพื่อตรวจความพร้อม 02/06/05,ค่ารถไปกลับสาขาพลาซ่าลากูน 03/06/05,ค่ารถไปกลับสาขาลาดหญ้า 06/06/05 เพื่อตรวจความพร้อม</v>
          </cell>
          <cell r="F434">
            <v>761</v>
          </cell>
        </row>
        <row r="435">
          <cell r="C435" t="str">
            <v>00027-62000000</v>
          </cell>
          <cell r="D435">
            <v>999999</v>
          </cell>
          <cell r="E435" t="str">
            <v>006213-คุณเดือนเพ็ญ-ค่ารถไปกลับสาขามาบุญครอง 07/06/05,ค่ารถไปกลับสาขาเอกมัย 08/06/05 ไปตรวจความพร้อมของสาขา</v>
          </cell>
          <cell r="F435">
            <v>302</v>
          </cell>
        </row>
        <row r="436">
          <cell r="C436" t="str">
            <v>00003-62000000</v>
          </cell>
          <cell r="D436">
            <v>999999</v>
          </cell>
          <cell r="E436" t="str">
            <v>006214-คุณอลงกรณ์-ค่ารถไปสาขาริเวอร์พลาซ่า เพื่อตรวจอุปกรณ์ความปลอดภัย,การติดตั้ง Five Exit</v>
          </cell>
          <cell r="F436">
            <v>210</v>
          </cell>
        </row>
        <row r="437">
          <cell r="C437" t="str">
            <v>00024-62000000</v>
          </cell>
          <cell r="D437">
            <v>999999</v>
          </cell>
          <cell r="E437" t="str">
            <v>006215-คุณสุมาลี-ค่ารถไปกลับสาขาทองหล่อ 10/06/05 ตรวจเยี่ยมสาขาประจำสัปดาห์</v>
          </cell>
          <cell r="F437">
            <v>386</v>
          </cell>
        </row>
        <row r="438">
          <cell r="C438" t="str">
            <v>00024-62000000</v>
          </cell>
          <cell r="D438">
            <v>999999</v>
          </cell>
          <cell r="E438" t="str">
            <v>006216-คุณจิระภา-ค่ารถไปสาขาเซียร์รังสิต,สาขารังสิต,โลตัสคลอง 4 ไปตรวจเยี่ยมสาขาและคู่แข่ง 10/6/05</v>
          </cell>
          <cell r="F438">
            <v>320</v>
          </cell>
        </row>
        <row r="439">
          <cell r="C439" t="str">
            <v>00094-60144110</v>
          </cell>
          <cell r="D439">
            <v>999999</v>
          </cell>
          <cell r="E439" t="str">
            <v>006217-คุณปองใจ-ค่าของว่างสำหรับ Training Course SQL 2000 for MIS Dept during 9-10/06/05</v>
          </cell>
          <cell r="F439">
            <v>826</v>
          </cell>
        </row>
        <row r="440">
          <cell r="C440" t="str">
            <v>00015-62000000</v>
          </cell>
          <cell r="D440">
            <v>999999</v>
          </cell>
          <cell r="E440" t="str">
            <v>006218-คุณละอองดาว-ค่ารถจากคลองเตยไปสาขานางลิ้นจี่ ปฏิบัติงานอาหารสด 07/06/05</v>
          </cell>
          <cell r="F440">
            <v>55</v>
          </cell>
        </row>
        <row r="441">
          <cell r="C441" t="str">
            <v>00015-60900000</v>
          </cell>
          <cell r="D441">
            <v>999999</v>
          </cell>
          <cell r="E441" t="str">
            <v>006218-คุณละอองดาว-ค่าล้างอัดรูปทำคู่มือ</v>
          </cell>
          <cell r="F441">
            <v>769.85</v>
          </cell>
        </row>
        <row r="442">
          <cell r="C442" t="str">
            <v>45110-11630060</v>
          </cell>
          <cell r="D442">
            <v>999999</v>
          </cell>
          <cell r="E442" t="str">
            <v>006218-047/2348-จักรวาลโฟโต้ดิจิตอล</v>
          </cell>
          <cell r="F442">
            <v>53.9</v>
          </cell>
        </row>
        <row r="443">
          <cell r="C443" t="str">
            <v>00024-62000000</v>
          </cell>
          <cell r="D443">
            <v>999999</v>
          </cell>
          <cell r="E443" t="str">
            <v>006219-คุณพรทิพย์-ค่ารถไปกลับลาดพร้าว-บางนา,ค่าทางด่วน ไปติดต่อร้านค้าในงานมหกรรมการกินและอาขีพที่เซ็นทรัลบางนา 10/06/05</v>
          </cell>
          <cell r="F443">
            <v>460</v>
          </cell>
        </row>
        <row r="444">
          <cell r="C444" t="str">
            <v>00025-62000000</v>
          </cell>
          <cell r="D444">
            <v>999999</v>
          </cell>
          <cell r="E444" t="str">
            <v>006220-คุณธาตรี-ค่ารถไปตรวจงานสาขาPK,NL,CK,MP,PU,SW ในเวลากลางคืน 1-31/05/05</v>
          </cell>
          <cell r="F444">
            <v>759</v>
          </cell>
        </row>
        <row r="445">
          <cell r="C445" t="str">
            <v>00095-62000000</v>
          </cell>
          <cell r="D445">
            <v>999999</v>
          </cell>
          <cell r="E445" t="str">
            <v>006221-คุณทรงพล-ค่ารถไปกลับสนญ.วังบูรพา เพื่อแก้ไขเครื่องสำรอง PDT 02/06/05,ค่ารถไปพุทธมณฑล,ริเวอร์พลาซ่า ไปSet up เครื่องชั่ง 06/06/05,ค่ารถไปเกษตร,รามอินทรา แก้ไขเครื่อง PC  08/06/05</v>
          </cell>
          <cell r="F445">
            <v>1275</v>
          </cell>
        </row>
        <row r="446">
          <cell r="C446" t="str">
            <v>00003-62000000</v>
          </cell>
          <cell r="D446">
            <v>999999</v>
          </cell>
          <cell r="E446" t="str">
            <v>006222-คุณบุญเพ็ง-ค่ารถจากจอมทองไปสาขารัชดาเพื่อซ้อมอพยพหนีไฟ 08/06/05,ค่ารถไปเซ็นทรัลเวิลด์,เพื่อรับเอกสารดับเพลิงขั้นต้น,ไปชิดลมเพื่อประชุมแผนอพยพหนีไฟ วันที่ 13/06/05</v>
          </cell>
          <cell r="F446">
            <v>393</v>
          </cell>
        </row>
        <row r="447">
          <cell r="C447" t="str">
            <v>00016-61100000</v>
          </cell>
          <cell r="D447">
            <v>999999</v>
          </cell>
          <cell r="E447" t="str">
            <v>006223-คุณมาลินี-ค่าสินค้าประกอบการทำ RD +ถ่ายรูป เมนูอาหาร "เทศกาลลำไย"</v>
          </cell>
          <cell r="F447">
            <v>187.06</v>
          </cell>
        </row>
        <row r="448">
          <cell r="C448" t="str">
            <v>00016-61100000</v>
          </cell>
          <cell r="D448">
            <v>888888</v>
          </cell>
          <cell r="E448" t="str">
            <v>006223-คุณมาลินี-Unclaimค่าสินค้าประกอบการทำ RD +ถ่ายรูป เมนูอาหาร "เทศกาลลำไย"</v>
          </cell>
          <cell r="F448">
            <v>9.94</v>
          </cell>
        </row>
        <row r="449">
          <cell r="C449" t="str">
            <v>00003-62000000</v>
          </cell>
          <cell r="D449">
            <v>999999</v>
          </cell>
          <cell r="E449" t="str">
            <v>006224-คุณปัญญา-ค่ารถจาก SK-RD เพื่อซ้อมหนีไฟ 08/06/05,ค่ารถจาก SK-HO-RT ไปซ้อมหนีไฟ 09/06/05,ค่ารถจาก SK-PL เพิ่อซ้อมหนีไฟ 10/06/05</v>
          </cell>
          <cell r="F449">
            <v>614</v>
          </cell>
        </row>
        <row r="450">
          <cell r="C450" t="str">
            <v>00003-62000000</v>
          </cell>
          <cell r="D450">
            <v>999999</v>
          </cell>
          <cell r="E450" t="str">
            <v>006225-คุณรังศรี-ค่ารถจากสุทธิสาร-RD เพื่อซ้อมหนีไฟ,ค่ารถจากสุทธิสาร-HO เพื่อซ้อมหนีไฟ 09/06/05,ค่ารถจากสุทธิสาร-PL เพื่อซ้อมหนีไฟ 10/06/05</v>
          </cell>
          <cell r="F450">
            <v>215</v>
          </cell>
        </row>
        <row r="451">
          <cell r="C451" t="str">
            <v>00005-62000000</v>
          </cell>
          <cell r="D451">
            <v>999999</v>
          </cell>
          <cell r="E451" t="str">
            <v>006226-คุณเจิรญพร-ค่ารถไปกลับไปวัดพื้นที่สาขาเซ็นหลุยส์ 03/06/05</v>
          </cell>
          <cell r="F451">
            <v>280</v>
          </cell>
        </row>
        <row r="452">
          <cell r="C452" t="str">
            <v>00095-60141250</v>
          </cell>
          <cell r="D452">
            <v>999999</v>
          </cell>
          <cell r="E452" t="str">
            <v>006227-คุณบรรเจิด-ค่ารักษาพยาบาล รพ.วิภาวดี วันที่ 03/06/05</v>
          </cell>
          <cell r="F452">
            <v>1172</v>
          </cell>
        </row>
        <row r="453">
          <cell r="C453" t="str">
            <v>00072-62000000</v>
          </cell>
          <cell r="D453">
            <v>999999</v>
          </cell>
          <cell r="E453" t="str">
            <v>006228-คุณสุนทร-ค่ารถไปสาขาสายไหมเช็คพื้นที่ซ่อมแซม 06/06/05,ค่ารถไปเซียร์ ดูบานหุ้มประต  07/06/05,ค่ารถจากรัตนาธิเบศร์-HO 09/06/05,ค่ารถไปกลับเซนต์หลุยส์ clear งานกับผู้รับเหมา 13/06/05,ค่ารถไปกลับ HO-ชิดลม เช็คพื้นที่ 14/06/05</v>
          </cell>
          <cell r="F453">
            <v>1600</v>
          </cell>
        </row>
        <row r="454">
          <cell r="C454" t="str">
            <v>99999-11635104</v>
          </cell>
          <cell r="D454">
            <v>999999</v>
          </cell>
          <cell r="E454" t="str">
            <v>006229-คุณสุบิน-Adv.P06/017</v>
          </cell>
          <cell r="F454">
            <v>5000</v>
          </cell>
        </row>
        <row r="455">
          <cell r="C455" t="str">
            <v>00023-62000000</v>
          </cell>
          <cell r="D455">
            <v>999999</v>
          </cell>
          <cell r="E455" t="str">
            <v>006230-คุณพรพรรณ์-ค่ารถเข้าปฏิบัติงานจากสาขาจรัญ-ปิ่นเกล้า 03/06/05,ค่ารถจากปิ่นเกล้า-ลาดพร้าว 07/06/05,ค่ารถจากพรานนก-ปิ่นเกล้า 08/06/05,ค่ารถจากตลิ่งชัน-ลาดพร้าว 09/06/05</v>
          </cell>
          <cell r="F455">
            <v>398</v>
          </cell>
        </row>
        <row r="456">
          <cell r="C456" t="str">
            <v>00023-62000000</v>
          </cell>
          <cell r="D456">
            <v>999999</v>
          </cell>
          <cell r="E456" t="str">
            <v>006231-คุณพรพรรณ์-ค่ารถไปปฏิบัติงานสาขา สีลม-ลาดพร้าว 07/06/05,ค่ารถจากลาดหญ้า-ลาดพร้าว 09/06/05,ค่ารถจากสีลม-เอกมัย 10/06/05</v>
          </cell>
          <cell r="F456">
            <v>367</v>
          </cell>
        </row>
        <row r="457">
          <cell r="C457" t="str">
            <v>00071-62000000</v>
          </cell>
          <cell r="D457">
            <v>999999</v>
          </cell>
          <cell r="E457" t="str">
            <v>006232-คุณตระกูลพันธ์-ค่ารถไปสาขาสุขสวัสดิ์ 02/06,ไปปิยะรมย์ 03/06,ไปพระราม 2 07/06,ไปประชาอุทิศ 08/06 ,ไปลาดหญ้า 13/06,ค่ารถไปสาขาปิ่นเกล้า 14/06/05 ไปตรวจเช็คระบบแอร์</v>
          </cell>
          <cell r="F457">
            <v>1000</v>
          </cell>
        </row>
        <row r="458">
          <cell r="C458" t="str">
            <v>00071-62000000</v>
          </cell>
          <cell r="D458">
            <v>999999</v>
          </cell>
          <cell r="E458" t="str">
            <v>006233-คุณชัชวาลย์-ค่ารถไปสาขาชิดลม,บางปะกง,ศรีนครินทร์,สุขุมวิท 19 01,03,06,06/06/05 ไปเรื่องไฟช็อต,แอร์,ปั้ม</v>
          </cell>
          <cell r="F458">
            <v>1000</v>
          </cell>
        </row>
        <row r="459">
          <cell r="C459" t="str">
            <v>00071-62000000</v>
          </cell>
          <cell r="D459">
            <v>999999</v>
          </cell>
          <cell r="E459" t="str">
            <v>006234-คุณอิทธิกร-ค่ารถไปสาขาราชวิถี แก้ไขระบบตู้แข่ 02/06,ค่ารถไปสาขารัชดา 03/06 แก้ไขระบบตู้แข่,ค่ารถไปสาขารามคำแหง แก้ไขแก๊ส 07/06,ค่ารถไปสาขาสายไหม แก้ไขระบบปรับอากาศ 08/06,ค่ารถไปสายไหมแก้ไขระบบตู้แช่ 09/06</v>
          </cell>
          <cell r="F459">
            <v>1000</v>
          </cell>
        </row>
        <row r="460">
          <cell r="C460" t="str">
            <v>00024-62000000</v>
          </cell>
          <cell r="D460">
            <v>999999</v>
          </cell>
          <cell r="E460" t="str">
            <v>006235-คุณเสาวลักษณ์-ค่ารถจากเซียร์รังสิต-ลาดพร้าว ไปหาพื้นที่เพื่อเพิ่มร้านค้า 10/06/05</v>
          </cell>
          <cell r="F460">
            <v>110</v>
          </cell>
        </row>
        <row r="461">
          <cell r="C461" t="str">
            <v>99999-11630251</v>
          </cell>
          <cell r="D461" t="str">
            <v>040123</v>
          </cell>
          <cell r="E461" t="str">
            <v>14/6/2005-#5409</v>
          </cell>
          <cell r="F461">
            <v>19523.75</v>
          </cell>
        </row>
        <row r="464">
          <cell r="C464" t="str">
            <v>00025-60141250</v>
          </cell>
          <cell r="D464">
            <v>999999</v>
          </cell>
          <cell r="E464" t="str">
            <v>006236-คุณอำนวย -ค่ารักษาพยาบาลทางเดินปัสวะอักเสบ</v>
          </cell>
          <cell r="F464">
            <v>2340</v>
          </cell>
        </row>
        <row r="465">
          <cell r="C465" t="str">
            <v>00025-60141250</v>
          </cell>
          <cell r="D465">
            <v>999999</v>
          </cell>
          <cell r="E465" t="str">
            <v>006237-คุณอำนวย-ค่ารักษาพยาบาลโรคผิวหนังที่เท้า</v>
          </cell>
          <cell r="F465">
            <v>820</v>
          </cell>
        </row>
        <row r="466">
          <cell r="C466" t="str">
            <v>00024-62000000</v>
          </cell>
          <cell r="D466">
            <v>999999</v>
          </cell>
          <cell r="E466" t="str">
            <v>006238-คุณสุมาลี-ค่ารถจากลาดพร้าวไปชิดลม ไปกลับ ค่าทางด่วน</v>
          </cell>
          <cell r="F466">
            <v>240</v>
          </cell>
        </row>
        <row r="467">
          <cell r="C467" t="str">
            <v>00024-62000000</v>
          </cell>
          <cell r="D467">
            <v>999999</v>
          </cell>
          <cell r="E467" t="str">
            <v>006239-คุณสุมาลี-ค่ารถแท็กซี่จากลาดพร้าวไปจรัญซอย25 9/06/05 เข้าชมผลิตอาหารร้านค้า</v>
          </cell>
          <cell r="F467">
            <v>120</v>
          </cell>
        </row>
        <row r="468">
          <cell r="C468" t="str">
            <v>00024-62000000</v>
          </cell>
          <cell r="D468">
            <v>999999</v>
          </cell>
          <cell r="E468" t="str">
            <v>006240-คุณเสวนีย์-ค่ารถแท็กซี่จากลาดพร้ายไปสาขารัชดา7/06/05</v>
          </cell>
          <cell r="F468">
            <v>145</v>
          </cell>
        </row>
        <row r="469">
          <cell r="C469" t="str">
            <v>00024-62000000</v>
          </cell>
          <cell r="D469">
            <v>999999</v>
          </cell>
          <cell r="E469" t="str">
            <v>006241-คุณชวนพิศ-ค่ารถไป-กลับ ลาดพร้าว -วังบูรพา ค่าทางด่วน</v>
          </cell>
          <cell r="F469">
            <v>300</v>
          </cell>
        </row>
        <row r="470">
          <cell r="C470" t="str">
            <v>00062-62000000</v>
          </cell>
          <cell r="D470">
            <v>999999</v>
          </cell>
          <cell r="E470" t="str">
            <v>006242-คุณวราภรณ์-ค่ารถไปสำนักงานจัดหางานพื้นที่ 4,ฟิวเจอรบางแค-HO เพื่อคัดลอกรายชื่อผู้สมัครงาน 13/06/05,ค่ารถไปกลับ HO-เทคนิคเจ้าพระยา ไปรับสมัครนักเรียน 14/06/05</v>
          </cell>
          <cell r="F470">
            <v>821</v>
          </cell>
        </row>
        <row r="471">
          <cell r="C471" t="str">
            <v>00015-60900000</v>
          </cell>
          <cell r="D471">
            <v>999999</v>
          </cell>
          <cell r="E471" t="str">
            <v>006243-คุณถนอม-ค่าล้างอัดภาพแผนกอาหารสด</v>
          </cell>
          <cell r="F471">
            <v>1677.57</v>
          </cell>
        </row>
        <row r="472">
          <cell r="C472" t="str">
            <v>45110-11630060</v>
          </cell>
          <cell r="D472">
            <v>999999</v>
          </cell>
          <cell r="E472" t="str">
            <v>006243-764/38165-โฟโต้ ฮัท เทรดดิ้ง</v>
          </cell>
          <cell r="F472">
            <v>117.43</v>
          </cell>
        </row>
        <row r="473">
          <cell r="C473" t="str">
            <v>00015-62000000</v>
          </cell>
          <cell r="D473">
            <v>999999</v>
          </cell>
          <cell r="E473" t="str">
            <v>006244-คุณเกยูร-ค่ารถ Mileage ปฏิบัติงานอาหารสด ที่ Zeer,PK,CW,NL,SK ,ค่าทางด่วน 17-25/05/06</v>
          </cell>
          <cell r="F473">
            <v>2837.5</v>
          </cell>
        </row>
        <row r="474">
          <cell r="C474" t="str">
            <v>00095-60141250</v>
          </cell>
          <cell r="D474">
            <v>999999</v>
          </cell>
          <cell r="E474" t="str">
            <v>006245-คุณทรงพล-ค่ารักษาพยาบาล รพ.กรุงธน 1 วันที่ 10/06/05</v>
          </cell>
          <cell r="F474">
            <v>1071</v>
          </cell>
        </row>
        <row r="475">
          <cell r="C475" t="str">
            <v>00011-62000000</v>
          </cell>
          <cell r="D475">
            <v>999999</v>
          </cell>
          <cell r="E475" t="str">
            <v>006246-คุณสุกัญญา-ค่ารถกลับจากงาน Thaifex ที่อิมแพ็คเมืองทองธานี 20/05/05</v>
          </cell>
          <cell r="F475">
            <v>80</v>
          </cell>
        </row>
        <row r="476">
          <cell r="C476" t="str">
            <v>00011-61100000</v>
          </cell>
          <cell r="D476">
            <v>999999</v>
          </cell>
          <cell r="E476" t="str">
            <v>006246-คุณสุกัญญา-ค่าสินค้านำมาทำ Product Cutting เพื่อเปรียบเทียบคุณภาพ</v>
          </cell>
          <cell r="F476">
            <v>172.29</v>
          </cell>
        </row>
        <row r="477">
          <cell r="C477" t="str">
            <v>00011-61100000</v>
          </cell>
          <cell r="D477">
            <v>888888</v>
          </cell>
          <cell r="E477" t="str">
            <v>006246-คุณสุกัญญา-Unclaimค่าสินค้านำมาทำ Product Cutting เพื่อเปรียบเทียบคุณภาพ</v>
          </cell>
          <cell r="F477">
            <v>7.21</v>
          </cell>
        </row>
        <row r="478">
          <cell r="C478" t="str">
            <v>00011-62000000</v>
          </cell>
          <cell r="D478">
            <v>999999</v>
          </cell>
          <cell r="E478" t="str">
            <v>006247-คุณสุกัญญา-ค่ารถจากงามวงศ์งาน-อาคารธนภูมิ-เซ็นทรัลลาดพร้าว ไปอบรมพนง.สาธิตสินค้าตราท็อปส์</v>
          </cell>
          <cell r="F478">
            <v>315</v>
          </cell>
        </row>
        <row r="479">
          <cell r="C479" t="str">
            <v>00011-61100000</v>
          </cell>
          <cell r="D479">
            <v>999999</v>
          </cell>
          <cell r="E479" t="str">
            <v>006247-คุณสุกัญญา-ค่าสินค้านำมาทำ Product Cutting เพื่อทดสอบคุณภาพสินค้า</v>
          </cell>
          <cell r="F479">
            <v>47.9</v>
          </cell>
        </row>
        <row r="480">
          <cell r="C480" t="str">
            <v>00011-61100000</v>
          </cell>
          <cell r="D480">
            <v>888888</v>
          </cell>
          <cell r="E480" t="str">
            <v>006247-คุณสุกัญญา-Unclaimค่าสินค้านำมาทำ Product Cutting เพื่อทดสอบคุณภาพสินค้า</v>
          </cell>
          <cell r="F480">
            <v>3.35</v>
          </cell>
        </row>
        <row r="481">
          <cell r="C481" t="str">
            <v>00017-60141250</v>
          </cell>
          <cell r="D481">
            <v>999999</v>
          </cell>
          <cell r="E481" t="str">
            <v>006248-คุณกนกพร-ค่ารักษาพยาบาล รพ.รามคำแหง วันที่ 06/06/05</v>
          </cell>
          <cell r="F481">
            <v>369</v>
          </cell>
        </row>
        <row r="482">
          <cell r="C482" t="str">
            <v>00017-60141250</v>
          </cell>
          <cell r="D482">
            <v>999999</v>
          </cell>
          <cell r="E482" t="str">
            <v>006249-คุณกนกพร-ค่ารักษาพยาบาล รพ.รามคำแหง วันที่ 08/06/05</v>
          </cell>
          <cell r="F482">
            <v>3445</v>
          </cell>
        </row>
        <row r="483">
          <cell r="C483" t="str">
            <v>99999-11635104</v>
          </cell>
          <cell r="D483">
            <v>999999</v>
          </cell>
          <cell r="E483" t="str">
            <v>006250-คุณวรรณทนีย์-clear Adv.P06/005</v>
          </cell>
          <cell r="F483">
            <v>2369</v>
          </cell>
        </row>
        <row r="484">
          <cell r="C484" t="str">
            <v>31612-62000000</v>
          </cell>
          <cell r="D484">
            <v>999999</v>
          </cell>
          <cell r="E484" t="str">
            <v>006251-คุณไพรินทร์-ค่ารถไปกลับ HO-อย. เพื่อยื่นเอกสาร สบ.5 13/06/05</v>
          </cell>
          <cell r="F484">
            <v>210</v>
          </cell>
        </row>
        <row r="485">
          <cell r="C485" t="str">
            <v>00007-61705150</v>
          </cell>
          <cell r="D485">
            <v>999999</v>
          </cell>
          <cell r="E485" t="str">
            <v>006251-คุณไพรินทร์-ค่ากล่องใส่เอกสาร 8 ชิ้น</v>
          </cell>
          <cell r="F485">
            <v>240</v>
          </cell>
        </row>
        <row r="486">
          <cell r="C486" t="str">
            <v>99999-11630251</v>
          </cell>
          <cell r="D486" t="str">
            <v>040123</v>
          </cell>
          <cell r="E486" t="str">
            <v>15/6/2005-#5428</v>
          </cell>
          <cell r="F486">
            <v>17748.25</v>
          </cell>
        </row>
        <row r="489">
          <cell r="C489" t="str">
            <v>00004-60141250</v>
          </cell>
          <cell r="D489">
            <v>999999</v>
          </cell>
          <cell r="E489" t="str">
            <v>006252-คุณรัศมี-ค่ารักษาพยาบาล รพ.เปาโล วันที่ 14/06/05</v>
          </cell>
          <cell r="F489">
            <v>690</v>
          </cell>
        </row>
        <row r="490">
          <cell r="C490" t="str">
            <v>00004-60141250</v>
          </cell>
          <cell r="D490">
            <v>999999</v>
          </cell>
          <cell r="E490" t="str">
            <v>006253-คุณดุสิต-ค่ารักษาพยาบาล รพ.วิภาวดี วันที่ 14/06/05</v>
          </cell>
          <cell r="F490">
            <v>502</v>
          </cell>
        </row>
        <row r="491">
          <cell r="C491" t="str">
            <v>00025-62000000</v>
          </cell>
          <cell r="D491">
            <v>999999</v>
          </cell>
          <cell r="E491" t="str">
            <v>006254-คุณฐานุตร-ค่ารถตรวจงานสาขาในช่วงเวลากลางคืน สาขาปิ่นเกล้า,พระราม 2,วังบูรพา,พุทธมณฑล,ตลิ่งชัน</v>
          </cell>
          <cell r="F491">
            <v>775</v>
          </cell>
        </row>
        <row r="492">
          <cell r="C492" t="str">
            <v>00018-62000000</v>
          </cell>
          <cell r="D492">
            <v>999999</v>
          </cell>
          <cell r="E492" t="str">
            <v>006255-คุณสุภาวดี-ค่าทางด่วน,ค่ารถกลับจากตึก TCC สาธร มา ลาดพร้าว ไปทำ visa ออสเตรเลีย</v>
          </cell>
          <cell r="F492">
            <v>180</v>
          </cell>
        </row>
        <row r="493">
          <cell r="C493" t="str">
            <v>00018-62000000</v>
          </cell>
          <cell r="D493">
            <v>999999</v>
          </cell>
          <cell r="E493" t="str">
            <v>006256-คุณจรรยา-ค่ารถไปกลับดอนเมือง ไปรับสินค้า</v>
          </cell>
          <cell r="F493">
            <v>215</v>
          </cell>
        </row>
        <row r="494">
          <cell r="C494" t="str">
            <v>31612-62000000</v>
          </cell>
          <cell r="D494">
            <v>999999</v>
          </cell>
          <cell r="E494" t="str">
            <v>006257-คุณแคทลียา-ค่ารถไปกระทรวงสาธารณสุข,เพื่อยื่นเอกสารขอเลขระบบสินค้านำเข้า</v>
          </cell>
          <cell r="F494">
            <v>210</v>
          </cell>
        </row>
        <row r="495">
          <cell r="C495" t="str">
            <v>00004-62000000</v>
          </cell>
          <cell r="D495">
            <v>999999</v>
          </cell>
          <cell r="E495" t="str">
            <v>006258-คุณอมรรัตน์-ค่ารถไปกลับลาดพร้าว-FDC  13-14/06/05 ไปฝึกเรียนงาน,ค่ารถไปกลับ HO-ซีคอน เพื่อตรวจประเมินสาขา,ค่าทางด่วน</v>
          </cell>
          <cell r="F495">
            <v>1650</v>
          </cell>
        </row>
        <row r="496">
          <cell r="C496" t="str">
            <v>00004-61100000</v>
          </cell>
          <cell r="D496">
            <v>999999</v>
          </cell>
          <cell r="E496" t="str">
            <v>006258-คุณอมรรัตน์-ค่า post Marketing of June 2005</v>
          </cell>
          <cell r="F496">
            <v>463.32</v>
          </cell>
        </row>
        <row r="497">
          <cell r="C497" t="str">
            <v>00004-61100000</v>
          </cell>
          <cell r="D497">
            <v>888888</v>
          </cell>
          <cell r="E497" t="str">
            <v>006258-คุณอมรรัตน์-Unclaimค่า post Marketing of June 2005</v>
          </cell>
          <cell r="F497">
            <v>32.43</v>
          </cell>
        </row>
        <row r="498">
          <cell r="C498" t="str">
            <v>00004-62000000</v>
          </cell>
          <cell r="D498">
            <v>999999</v>
          </cell>
          <cell r="E498" t="str">
            <v>006259-คุณอรมรัตน์-ค่ารถไปกลับสาขารังสิต เพื่อสังเกตการณ์กิจกรรม IQA  15/06/05,ค่ารถไปสาขาบางรักเพื่อตรวจประเมินสาขา 10/06/05</v>
          </cell>
          <cell r="F498">
            <v>498</v>
          </cell>
        </row>
        <row r="499">
          <cell r="C499" t="str">
            <v>00004-61100000</v>
          </cell>
          <cell r="D499">
            <v>999999</v>
          </cell>
          <cell r="E499" t="str">
            <v>006259-คุณอมรรัตน์-ค่าชุดทดสอบไอโอดีนในเกลือ</v>
          </cell>
          <cell r="F499">
            <v>550</v>
          </cell>
        </row>
        <row r="500">
          <cell r="C500" t="str">
            <v>00015-62000000</v>
          </cell>
          <cell r="D500">
            <v>999999</v>
          </cell>
          <cell r="E500" t="str">
            <v>006260-คุณสุพัฒน์-ค่ารถไปปฏิบัติงานอาหารสดที่สาขาเกษตร 15/06/05</v>
          </cell>
          <cell r="F500">
            <v>110</v>
          </cell>
        </row>
        <row r="501">
          <cell r="C501" t="str">
            <v>00015-60900000</v>
          </cell>
          <cell r="D501">
            <v>999999</v>
          </cell>
          <cell r="E501" t="str">
            <v>006260-คุณสุพัฒน์-ค่าล้างอัดรูปปฏิบัติงานอาหารสด</v>
          </cell>
          <cell r="F501">
            <v>304.44</v>
          </cell>
        </row>
        <row r="502">
          <cell r="C502" t="str">
            <v>45110-11630060</v>
          </cell>
          <cell r="D502">
            <v>999999</v>
          </cell>
          <cell r="E502" t="str">
            <v>006260-คุณสุพัฒน์-156/7755-โฟโต้เฟรนด์</v>
          </cell>
          <cell r="F502">
            <v>12.56</v>
          </cell>
        </row>
        <row r="503">
          <cell r="C503" t="str">
            <v>00015-62000000</v>
          </cell>
          <cell r="D503">
            <v>999999</v>
          </cell>
          <cell r="E503" t="str">
            <v>006261-คุณเกยูร-ค่ารถ Mileage ปฏิบัติงานอาหารสด 26,31/05/05</v>
          </cell>
          <cell r="F503">
            <v>1178</v>
          </cell>
        </row>
        <row r="504">
          <cell r="C504" t="str">
            <v>00015-62000000</v>
          </cell>
          <cell r="D504">
            <v>999999</v>
          </cell>
          <cell r="E504" t="str">
            <v>006262-คุณศิโรรัตน์-ค่ารถ Mileage ปฏิบัติงานอาหารสด 27/05-07/06 สาขา RS.BR.BN.CL.SC</v>
          </cell>
          <cell r="F504">
            <v>1066.75</v>
          </cell>
        </row>
        <row r="505">
          <cell r="C505" t="str">
            <v>00015-60900000</v>
          </cell>
          <cell r="D505">
            <v>999999</v>
          </cell>
          <cell r="E505" t="str">
            <v>006262-คุณศิโรรัตน์-ค่าล้างอัดรูป Activity สาขารังสิต</v>
          </cell>
          <cell r="F505">
            <v>80</v>
          </cell>
        </row>
        <row r="506">
          <cell r="C506" t="str">
            <v>00015-61100000</v>
          </cell>
          <cell r="D506">
            <v>999999</v>
          </cell>
          <cell r="E506" t="str">
            <v>006263-คุณนฤมล-ค่าวัตดุดิบ R&amp;D ลำไย</v>
          </cell>
          <cell r="F506">
            <v>320.01</v>
          </cell>
        </row>
        <row r="507">
          <cell r="C507" t="str">
            <v>00015-61100000</v>
          </cell>
          <cell r="D507">
            <v>888888</v>
          </cell>
          <cell r="E507" t="str">
            <v>006263-คุณนฤมล-Unclaimค่าวัตดุดิบ R&amp;D ลำไย</v>
          </cell>
          <cell r="F507">
            <v>7.24</v>
          </cell>
        </row>
        <row r="508">
          <cell r="C508" t="str">
            <v>00015-60900000</v>
          </cell>
          <cell r="D508">
            <v>999999</v>
          </cell>
          <cell r="E508" t="str">
            <v>006263-คุณนฤมล-ค่าถ่านถ่ายรูป ,ค่าไลด์ CD</v>
          </cell>
          <cell r="F508">
            <v>161.91999999999999</v>
          </cell>
        </row>
        <row r="509">
          <cell r="C509" t="str">
            <v>00015-60900000</v>
          </cell>
          <cell r="D509">
            <v>888888</v>
          </cell>
          <cell r="E509" t="str">
            <v>006263-คุณนฤมล-Unclaimค่าถ่านถ่ายรูป ,ค่าไลด์ CD</v>
          </cell>
          <cell r="F509">
            <v>7.83</v>
          </cell>
        </row>
        <row r="510">
          <cell r="C510" t="str">
            <v>00015-61100000</v>
          </cell>
          <cell r="D510">
            <v>999999</v>
          </cell>
          <cell r="E510" t="str">
            <v>006264-คุณสุพัฒน์-ค่าตัวอย่างสินค้าสำหรับนำมาพัฒนาผลิตภัณฑ์อาหารแผนกอาหารสด</v>
          </cell>
          <cell r="F510">
            <v>1983.18</v>
          </cell>
        </row>
        <row r="511">
          <cell r="C511" t="str">
            <v>45110-11630060</v>
          </cell>
          <cell r="D511">
            <v>999999</v>
          </cell>
          <cell r="E511" t="str">
            <v>006264-105/5231-ฟูจิ ฟิวเจอร์ปาร์ค รังสิต</v>
          </cell>
          <cell r="F511">
            <v>55.02</v>
          </cell>
        </row>
        <row r="512">
          <cell r="C512" t="str">
            <v>45110-11630060</v>
          </cell>
          <cell r="D512">
            <v>999999</v>
          </cell>
          <cell r="E512" t="str">
            <v>006264-P344001074-เอส แอนด์ พี ซินดิเคท</v>
          </cell>
          <cell r="F512">
            <v>83.8</v>
          </cell>
        </row>
        <row r="513">
          <cell r="C513" t="str">
            <v>00015-62600000</v>
          </cell>
          <cell r="D513">
            <v>999999</v>
          </cell>
          <cell r="E513" t="str">
            <v>006265-คุณจารุณี-ค่าโถเบญจรงค์+กล่องกำมะหยี่ ให้เจ้าหน้าที่จากสถานฑูต New Zealand</v>
          </cell>
          <cell r="F513">
            <v>1400</v>
          </cell>
        </row>
        <row r="514">
          <cell r="C514" t="str">
            <v>00015-62000000</v>
          </cell>
          <cell r="D514">
            <v>999999</v>
          </cell>
          <cell r="E514" t="str">
            <v>006266-คุณจารุณี-ค่าทางด่วนนำสินค้าใหม่ไปให้ผู้บริหารที่ ชิดลม</v>
          </cell>
          <cell r="F514">
            <v>50</v>
          </cell>
        </row>
        <row r="515">
          <cell r="C515" t="str">
            <v>00017-60215000</v>
          </cell>
          <cell r="D515">
            <v>999999</v>
          </cell>
          <cell r="E515" t="str">
            <v>006267-คุณชนาพร-ค่าอุปกรณืตกแต่งร้านสาขาชิดลม แผนกอาหารทะเล</v>
          </cell>
          <cell r="F515">
            <v>2135</v>
          </cell>
        </row>
        <row r="516">
          <cell r="C516" t="str">
            <v>00017-62000000</v>
          </cell>
          <cell r="D516">
            <v>999999</v>
          </cell>
          <cell r="E516" t="str">
            <v>006267-คุณชนาพร-ค่ารถไปสำรวจคู่แข่งขันที่ฟู้ดแลนด์ลาดพร้าว</v>
          </cell>
          <cell r="F516">
            <v>96</v>
          </cell>
        </row>
        <row r="517">
          <cell r="C517" t="str">
            <v>00017-62000000</v>
          </cell>
          <cell r="D517">
            <v>999999</v>
          </cell>
          <cell r="E517" t="str">
            <v>006268-คุณนฤมล-ค่ารถไปปฏิบัติงานอาหารสด NL-HO,ค่าทางด่วน</v>
          </cell>
          <cell r="F517">
            <v>160</v>
          </cell>
        </row>
        <row r="518">
          <cell r="C518" t="str">
            <v>00017-60900000</v>
          </cell>
          <cell r="D518">
            <v>999999</v>
          </cell>
          <cell r="E518" t="str">
            <v>006268-คุณนฤมล-ค่าล้างอัดรูป,ค่าไลด์ ซีดี</v>
          </cell>
          <cell r="F518">
            <v>631.30999999999995</v>
          </cell>
        </row>
        <row r="519">
          <cell r="C519" t="str">
            <v>45110-11630060</v>
          </cell>
          <cell r="D519">
            <v>999999</v>
          </cell>
          <cell r="E519" t="str">
            <v>006268-066861-เพาเวอร์ บาย</v>
          </cell>
          <cell r="F519">
            <v>44.19</v>
          </cell>
        </row>
        <row r="520">
          <cell r="C520" t="str">
            <v>00012-62000000</v>
          </cell>
          <cell r="D520">
            <v>999999</v>
          </cell>
          <cell r="E520" t="str">
            <v>006269-คุณอริยา-ค่ารถไปประชุมเรื่องบุหรี่ที่รัฐสภา 15/06/05</v>
          </cell>
          <cell r="F520">
            <v>260</v>
          </cell>
        </row>
        <row r="521">
          <cell r="C521" t="str">
            <v>00023-62000000</v>
          </cell>
          <cell r="D521">
            <v>999999</v>
          </cell>
          <cell r="E521" t="str">
            <v>006270-คุณพรพรรณ์-ค่ารถเข้าปฏิบัติงานที่สาขาพหลโยธิน 1 09-13/05/05</v>
          </cell>
          <cell r="F521">
            <v>1035</v>
          </cell>
        </row>
        <row r="522">
          <cell r="C522" t="str">
            <v>00023-62000000</v>
          </cell>
          <cell r="D522">
            <v>999999</v>
          </cell>
          <cell r="E522" t="str">
            <v>006271-คุณพรพรรณ์-ค่ารถเข้าปฏิบัติงานที่สาขาพลาซ่าลากูน 03-06/05/05</v>
          </cell>
          <cell r="F522">
            <v>720</v>
          </cell>
        </row>
        <row r="523">
          <cell r="C523" t="str">
            <v>00052-62000000</v>
          </cell>
          <cell r="D523">
            <v>999999</v>
          </cell>
          <cell r="E523" t="str">
            <v>006272-คุณอนันต์-ค่ารถจากHO-ไปเซียร์รังสิตและไปพลาซ่าลากูนวันที่14-15/6/48</v>
          </cell>
          <cell r="F523">
            <v>250</v>
          </cell>
        </row>
        <row r="524">
          <cell r="C524" t="str">
            <v>00018-60141250</v>
          </cell>
          <cell r="D524">
            <v>999999</v>
          </cell>
          <cell r="E524" t="str">
            <v>006273-คุณธนาวรรณ-ค่ารักษาพยาล รพ.บางโพ วันที่5/6/*48</v>
          </cell>
          <cell r="F524">
            <v>402</v>
          </cell>
        </row>
        <row r="525">
          <cell r="C525" t="str">
            <v>00062-62000000</v>
          </cell>
          <cell r="D525">
            <v>999999</v>
          </cell>
          <cell r="E525" t="str">
            <v>006274-คุณวันทนา-ค่ารถไปประชุมจากชิดลม -Central World 15/06/05</v>
          </cell>
          <cell r="F525">
            <v>90</v>
          </cell>
        </row>
        <row r="526">
          <cell r="C526" t="str">
            <v>00047-62000000</v>
          </cell>
          <cell r="D526">
            <v>999999</v>
          </cell>
          <cell r="E526" t="str">
            <v>006275-คุณวรรณดี-ค่ารถไปตรวจสอบสาขารามอินทรา 14/06/05</v>
          </cell>
          <cell r="F526">
            <v>194</v>
          </cell>
        </row>
        <row r="527">
          <cell r="C527" t="str">
            <v>00018-11635104</v>
          </cell>
          <cell r="D527">
            <v>999999</v>
          </cell>
          <cell r="E527" t="str">
            <v>006276-คุณไพโรจน์-Advance P06/022 ;วันที่16/6/48 ไปติดต่อSuppier mพังงา</v>
          </cell>
          <cell r="F527">
            <v>5000</v>
          </cell>
        </row>
        <row r="528">
          <cell r="C528" t="str">
            <v>00047-62000000</v>
          </cell>
          <cell r="D528">
            <v>999999</v>
          </cell>
          <cell r="E528" t="str">
            <v>006277-คุณยุทธนา-ค่ารถไป-กลับลาดพร้าว-แฟชั่นวันที่15/6/48เพื่อตรวจสาขา</v>
          </cell>
          <cell r="F528">
            <v>310</v>
          </cell>
        </row>
        <row r="529">
          <cell r="C529" t="str">
            <v>00047-62000000</v>
          </cell>
          <cell r="D529">
            <v>999999</v>
          </cell>
          <cell r="E529" t="str">
            <v>006278-คุณทศพร-ค่ารถไป-กลับจากลาดพร้าว-สาขาเจริญกรุงเพื่อตรวจสาขา14-15/6/48</v>
          </cell>
          <cell r="F529">
            <v>280</v>
          </cell>
        </row>
        <row r="530">
          <cell r="C530" t="str">
            <v>00015-62600000</v>
          </cell>
          <cell r="D530">
            <v>999999</v>
          </cell>
          <cell r="E530" t="str">
            <v>006279-คุณรุ่งทิวา-ค่าเลี้ยงรับรองเจ้าหน้าที่ อย.กระทรวงสวาธารณสุข เข้าตรวจพื้นที่ สาขาหนองจอก,ลาดกระบัง,รามคำแหง</v>
          </cell>
          <cell r="F530">
            <v>240.42</v>
          </cell>
        </row>
        <row r="531">
          <cell r="C531" t="str">
            <v>00015-62000000</v>
          </cell>
          <cell r="D531">
            <v>999999</v>
          </cell>
          <cell r="E531" t="str">
            <v>006280-คุณรุ่งทิวา-ค่ารถไป-กลับHO-กระทรวงสาธาณสุชเพื่อยื่นเอกสารสาขาเอกมัย</v>
          </cell>
          <cell r="F531">
            <v>180</v>
          </cell>
        </row>
        <row r="532">
          <cell r="C532" t="str">
            <v>00015-62600000</v>
          </cell>
          <cell r="D532">
            <v>999999</v>
          </cell>
          <cell r="E532" t="str">
            <v>006281-คุณรุ่งทิวา-เลี้ยงรับรองเจ้าหน้าที่ อย.สาธารณสุขเข้าตรวจพื้นที่สาขาพลาซ่าลากูนและเสนานิคม และเอกมัยวันที่15/6/48</v>
          </cell>
          <cell r="F532">
            <v>267.39999999999998</v>
          </cell>
        </row>
        <row r="533">
          <cell r="C533" t="str">
            <v>00016-62000000</v>
          </cell>
          <cell r="D533">
            <v>999999</v>
          </cell>
          <cell r="E533" t="str">
            <v>006282-คุณสุภัทรา-ค่ารถจากลาดพร้าวไปสาขาเกษตรวันที่13-15/6/48</v>
          </cell>
          <cell r="F533">
            <v>220</v>
          </cell>
        </row>
        <row r="534">
          <cell r="C534" t="str">
            <v>00071-60141250</v>
          </cell>
          <cell r="D534">
            <v>999999</v>
          </cell>
          <cell r="E534" t="str">
            <v>006283-คุณกันญา-ค่ารักษาพยาบาล รพ.ธนบุรี วัรที่30/5/48</v>
          </cell>
          <cell r="F534">
            <v>1820</v>
          </cell>
        </row>
        <row r="535">
          <cell r="C535" t="str">
            <v>00016-61100000</v>
          </cell>
          <cell r="D535">
            <v>999999</v>
          </cell>
          <cell r="E535" t="str">
            <v>006284-คุณสุภัทรา-ค่าสินค้าตัวอย่าง RTE ญี่ปุ่น</v>
          </cell>
          <cell r="F535">
            <v>160</v>
          </cell>
        </row>
        <row r="536">
          <cell r="C536" t="str">
            <v>00016-61100000</v>
          </cell>
          <cell r="D536">
            <v>999999</v>
          </cell>
          <cell r="E536" t="str">
            <v>006285-คุณสุภทรา-ค่าสินค้าตัวอย่าง RTE .ให้กับสาขา</v>
          </cell>
          <cell r="F536">
            <v>238.24</v>
          </cell>
        </row>
        <row r="537">
          <cell r="C537" t="str">
            <v>00016-61100000</v>
          </cell>
          <cell r="D537">
            <v>888888</v>
          </cell>
          <cell r="E537" t="str">
            <v>006285-unclim vat ค่าสินค้าตัวอย่าง</v>
          </cell>
          <cell r="F537">
            <v>13.26</v>
          </cell>
        </row>
        <row r="538">
          <cell r="C538" t="str">
            <v>00016-62000000</v>
          </cell>
          <cell r="D538">
            <v>999999</v>
          </cell>
          <cell r="E538" t="str">
            <v>006286-คุณสุภัทราค่ารถไฟฟ้าจากหมอชิตไปอ่อนนุชเพื่อไปช่วยสาขาเกี่ยวกับกะทิธัญญพืช-</v>
          </cell>
          <cell r="F538">
            <v>125</v>
          </cell>
        </row>
        <row r="539">
          <cell r="C539" t="str">
            <v>00016-62000000</v>
          </cell>
          <cell r="D539">
            <v>999999</v>
          </cell>
          <cell r="E539" t="str">
            <v>006287-คุณสภัทรา-ค่ารถจากลาดพร้าวไปสาขารังสิตเพื่อR&amp;D MENU Activity</v>
          </cell>
          <cell r="F539">
            <v>150</v>
          </cell>
        </row>
        <row r="540">
          <cell r="C540" t="str">
            <v>00054-60141250</v>
          </cell>
          <cell r="D540">
            <v>999999</v>
          </cell>
          <cell r="E540" t="str">
            <v>006288-คุณอลงต-ค่ารักษาพยาบาล รพ.พิบูลมังสาหาร วันที่6/6/48</v>
          </cell>
          <cell r="F540">
            <v>150</v>
          </cell>
        </row>
        <row r="541">
          <cell r="C541" t="str">
            <v>00018-62000000</v>
          </cell>
          <cell r="D541">
            <v>999999</v>
          </cell>
          <cell r="E541" t="str">
            <v>006289-คุณกัญญา-ค่ารถจากลาดพร้าวไป-กลับ FDC และไป-กลับชิดลมเพื่อสำรวจคู่แข่ง</v>
          </cell>
          <cell r="F541">
            <v>340</v>
          </cell>
        </row>
        <row r="542">
          <cell r="C542" t="str">
            <v>00003-62000000</v>
          </cell>
          <cell r="D542">
            <v>999999</v>
          </cell>
          <cell r="E542" t="str">
            <v>006290-คุณอลงกรณ์-ค่ารถจากสาขา DC มาสำนักงานใหญ่สำรวจพื้นที่</v>
          </cell>
          <cell r="F542">
            <v>256</v>
          </cell>
        </row>
        <row r="543">
          <cell r="C543" t="str">
            <v>00003-62000000</v>
          </cell>
          <cell r="D543">
            <v>999999</v>
          </cell>
          <cell r="E543" t="str">
            <v>006291-คุณณัฏฐณิชา-ค่ารถจากสำนักงานใหญ่ไปเซ็นทรัลเวิล  มาบุญครองมาสำนักงานใหญ่</v>
          </cell>
          <cell r="F543">
            <v>302</v>
          </cell>
        </row>
        <row r="544">
          <cell r="C544" t="str">
            <v>00004-62000000</v>
          </cell>
          <cell r="D544">
            <v>999999</v>
          </cell>
          <cell r="E544" t="str">
            <v>006292-คุณดุสิต-ค่ารถแท็กซี่จากสำนักงานใหญ่ไปกรมวิทย์ฯ ร้านถ่ายเอกสาร สำนักงาน อย. กลับสำนักงานใหญ่</v>
          </cell>
          <cell r="F544">
            <v>325</v>
          </cell>
        </row>
        <row r="545">
          <cell r="C545" t="str">
            <v>00004-61420000</v>
          </cell>
          <cell r="D545">
            <v>999999</v>
          </cell>
          <cell r="E545" t="str">
            <v>006292-คุณดุสิต-ค่าถ่ายเอกสารพร้อมเข้าเล่ม</v>
          </cell>
          <cell r="F545">
            <v>173.5</v>
          </cell>
        </row>
        <row r="546">
          <cell r="C546" t="str">
            <v>00054-60141250</v>
          </cell>
          <cell r="D546">
            <v>999999</v>
          </cell>
          <cell r="E546" t="str">
            <v>006293-คุณปทิตตา-ค่ารักษาพยาบาล รพ.สายไหม วันที่ 14/06/05</v>
          </cell>
          <cell r="F546">
            <v>623</v>
          </cell>
        </row>
        <row r="547">
          <cell r="C547" t="str">
            <v>00015-62600000</v>
          </cell>
          <cell r="D547">
            <v>888888</v>
          </cell>
          <cell r="E547" t="str">
            <v>006279-คุณรุ่งทิวา-Unclaimค่าเลี้ยงรับรองเจ้าหน้าที่ อย.กระทรวงสวาธารณสุข เข้าตรวจพื้นที่ สาขาหนองจอก,ลาดกระบัง,รามคำแหง</v>
          </cell>
          <cell r="F547">
            <v>16.829999999999998</v>
          </cell>
        </row>
        <row r="548">
          <cell r="C548" t="str">
            <v>00015-62600000</v>
          </cell>
          <cell r="D548">
            <v>888888</v>
          </cell>
          <cell r="E548" t="str">
            <v>006281-คุณรุ่งทิวา-Unclaimเลี้ยงรับรองเจ้าหน้าที่ อย.สาธารณสุขเข้าตรวจพื้นที่สาขาพลาซ่าลากูนและเสนานิคม และเอกมัยวันที่15/6/48</v>
          </cell>
          <cell r="F548">
            <v>13.85</v>
          </cell>
        </row>
        <row r="549">
          <cell r="C549" t="str">
            <v>99999-11630251</v>
          </cell>
          <cell r="D549" t="str">
            <v>040123</v>
          </cell>
          <cell r="E549" t="str">
            <v>16/6/2005-#5483</v>
          </cell>
          <cell r="F549">
            <v>29808.5</v>
          </cell>
        </row>
        <row r="552">
          <cell r="C552" t="str">
            <v>00052-60141250</v>
          </cell>
          <cell r="D552">
            <v>999999</v>
          </cell>
          <cell r="E552" t="str">
            <v>006294-ธารารัตน์-ค่ารักษาพยาบาล รพ.วิภาวดี วันที่ 09-12/06/05</v>
          </cell>
          <cell r="F552">
            <v>15579</v>
          </cell>
        </row>
        <row r="553">
          <cell r="C553" t="str">
            <v>00095-62000000</v>
          </cell>
          <cell r="D553">
            <v>999999</v>
          </cell>
          <cell r="E553" t="str">
            <v>006295-คุณอนันต์-ค่ารถแท็กซี่ จากสำนำงานใหญ่ไป ชิดลม ทองหล่อ ปิ่นเกล้า รัตนาธเบศร์ สุขุวิท 19</v>
          </cell>
          <cell r="F553">
            <v>1571</v>
          </cell>
        </row>
        <row r="554">
          <cell r="C554" t="str">
            <v>00095-62000000</v>
          </cell>
          <cell r="D554">
            <v>999999</v>
          </cell>
          <cell r="E554" t="str">
            <v>006296-คุณจีระศักดิ์-ค่ารถแท็กซี่จากสำนักงานใหญ่ไปเซียร์รังสิต รัตนาธิเบศร์ไป-กลับ</v>
          </cell>
          <cell r="F554">
            <v>475</v>
          </cell>
        </row>
        <row r="555">
          <cell r="C555" t="str">
            <v>00045-62000000</v>
          </cell>
          <cell r="D555">
            <v>999999</v>
          </cell>
          <cell r="E555" t="str">
            <v>006297-คุณเบญจมาพร-ค่ารถไฟฟ้าไปกลับบางรัก-เซ็นทรัลลาดพร้าว</v>
          </cell>
          <cell r="F555">
            <v>2160</v>
          </cell>
        </row>
        <row r="556">
          <cell r="C556" t="str">
            <v>00018-62000000</v>
          </cell>
          <cell r="D556">
            <v>999999</v>
          </cell>
          <cell r="E556" t="str">
            <v>006298-คุณจริยา-ค่ารถจากลาดพร้าวไปตึก TCC และ ALL season ไปกลับ</v>
          </cell>
          <cell r="F556">
            <v>350</v>
          </cell>
        </row>
        <row r="557">
          <cell r="C557" t="str">
            <v>00025-62000000</v>
          </cell>
          <cell r="D557">
            <v>999999</v>
          </cell>
          <cell r="E557" t="str">
            <v>006299-คุณบุญเลิศ-ค่ารถจากวงเวียนใหญ่สายใต้ใหม่ ไปราชบุรี และค่าแท็กซี่</v>
          </cell>
          <cell r="F557">
            <v>404</v>
          </cell>
        </row>
        <row r="558">
          <cell r="C558" t="str">
            <v>00047-60141250</v>
          </cell>
          <cell r="D558">
            <v>999999</v>
          </cell>
          <cell r="E558" t="str">
            <v>006300-คุณสุวณิช-ค่ารักษาพยาบาล รพ.พระรามเก้า วันที่ 11/06/05</v>
          </cell>
          <cell r="F558">
            <v>5290</v>
          </cell>
        </row>
        <row r="559">
          <cell r="C559" t="str">
            <v>00015-62000000</v>
          </cell>
          <cell r="D559">
            <v>999999</v>
          </cell>
          <cell r="E559" t="str">
            <v>006301-คุณจิราวรรณ-ค่ารถไปกลับสาขาSV19,BR,SC,SI,PK 31/05-10/06/05</v>
          </cell>
          <cell r="F559">
            <v>434</v>
          </cell>
        </row>
        <row r="560">
          <cell r="C560" t="str">
            <v>00015-60900000</v>
          </cell>
          <cell r="D560">
            <v>999999</v>
          </cell>
          <cell r="E560" t="str">
            <v>006301-คุณจิราวรรณ-ค่าล้างอัดรูปทำPlanograme</v>
          </cell>
          <cell r="F560">
            <v>306.76</v>
          </cell>
        </row>
        <row r="561">
          <cell r="C561" t="str">
            <v>45110-11630060</v>
          </cell>
          <cell r="D561">
            <v>999999</v>
          </cell>
          <cell r="E561" t="str">
            <v>006301-คุณจิราวรรณ-#2351-จักรวาลโฟโต้ดิจิตอล</v>
          </cell>
          <cell r="F561">
            <v>21.49</v>
          </cell>
        </row>
        <row r="562">
          <cell r="C562" t="str">
            <v>81200-62000000</v>
          </cell>
          <cell r="D562">
            <v>999999</v>
          </cell>
          <cell r="E562" t="str">
            <v>006302-คุณจไรรัตน์-ค่ารถเดินทางไปประชุมลูค้า Conoco และที่DCวันที่27/5/48.16/6/48 คชจ.เข้าที่DC</v>
          </cell>
          <cell r="F562">
            <v>336</v>
          </cell>
        </row>
        <row r="563">
          <cell r="C563" t="str">
            <v>81200-60141250</v>
          </cell>
          <cell r="D563">
            <v>999999</v>
          </cell>
          <cell r="E563" t="str">
            <v>006303-คุณชัชสรัญ-ค่ารักษาพยาบาล รพ.วิภาวดี วันที่12/6/48 คชจ.เข้าDC</v>
          </cell>
          <cell r="F563">
            <v>3320</v>
          </cell>
        </row>
        <row r="564">
          <cell r="C564" t="str">
            <v>00042-62000000</v>
          </cell>
          <cell r="D564">
            <v>999999</v>
          </cell>
          <cell r="E564" t="str">
            <v>006304-คุณเมธินี-ค่ารถไป-กลับติดต่องานราชการ1-15/6/48</v>
          </cell>
          <cell r="F564">
            <v>370</v>
          </cell>
        </row>
        <row r="565">
          <cell r="C565" t="str">
            <v>00072-61705150</v>
          </cell>
          <cell r="D565">
            <v>999999</v>
          </cell>
          <cell r="E565" t="str">
            <v>006305-คุณละเอียด-กระดาษโน้ต,ปากกาเคมี</v>
          </cell>
          <cell r="F565">
            <v>86.92</v>
          </cell>
        </row>
        <row r="566">
          <cell r="C566" t="str">
            <v>45110-11630060</v>
          </cell>
          <cell r="D566">
            <v>999999</v>
          </cell>
          <cell r="E566" t="str">
            <v>006305-8169721-บีทูเอส</v>
          </cell>
          <cell r="F566">
            <v>6.08</v>
          </cell>
        </row>
        <row r="567">
          <cell r="C567" t="str">
            <v>00054-62000000</v>
          </cell>
          <cell r="D567">
            <v>999999</v>
          </cell>
          <cell r="E567" t="str">
            <v>006306-คุณณิชาภัสร์-ค่ารถจากสนญ.-กรมการค้าภายใน ไปประชุมเรื่องราคาสินค้ากุ้ง</v>
          </cell>
          <cell r="F567">
            <v>100</v>
          </cell>
        </row>
        <row r="568">
          <cell r="C568" t="str">
            <v>00054-62000000</v>
          </cell>
          <cell r="D568">
            <v>999999</v>
          </cell>
          <cell r="E568" t="str">
            <v>006307-คุณปานัดดา-ค่ารถไปสำรวจราคาคู่แข่งขันที่เดอะมอลล์งามวงศ์วาน,คาร์ฟูร์รามอินทรา,ฟู้ดแลนด์,โลตัสหลักสี่, 17/06/05</v>
          </cell>
          <cell r="F568">
            <v>510</v>
          </cell>
        </row>
        <row r="569">
          <cell r="C569" t="str">
            <v>31612-62000000</v>
          </cell>
          <cell r="D569">
            <v>999999</v>
          </cell>
          <cell r="E569" t="str">
            <v>006308-คุณแคทลียา-ค่ารถไปกระทรวงสาธารณสุข ไปอย.เพื่อยื่นขอเลขสารบบอาหารนำเข้า</v>
          </cell>
          <cell r="F569">
            <v>180</v>
          </cell>
        </row>
        <row r="570">
          <cell r="C570" t="str">
            <v>00015-62600000</v>
          </cell>
          <cell r="D570">
            <v>999999</v>
          </cell>
          <cell r="E570" t="str">
            <v>006310-คุณจารุณี-ค่าของชำร่วย เพื่อให้เจ้าหน้าที่ ประเทศนิวซีแลนด์ 17/06/05</v>
          </cell>
          <cell r="F570">
            <v>1120</v>
          </cell>
        </row>
        <row r="571">
          <cell r="C571" t="str">
            <v>00015-61100000</v>
          </cell>
          <cell r="D571">
            <v>999999</v>
          </cell>
          <cell r="E571" t="str">
            <v>006311-คุณวันทนีย์-ค่าสินค้าผักผลไม้ตัวอย่างเพื่อเปรียบเทียบราคากับคู่แข่ง</v>
          </cell>
          <cell r="F571">
            <v>2430.5</v>
          </cell>
        </row>
        <row r="572">
          <cell r="C572" t="str">
            <v>00015-62000000</v>
          </cell>
          <cell r="D572">
            <v>999999</v>
          </cell>
          <cell r="E572" t="str">
            <v>006311-คุณวันทนีย์-ค่าทางด่วนไปซื้อสินค้าผักผลไม้ตัวอย่างเพื่อเปรียบเทียบราคากับคู่แข่ง</v>
          </cell>
          <cell r="F572">
            <v>100</v>
          </cell>
        </row>
        <row r="573">
          <cell r="C573" t="str">
            <v>00042-62600000</v>
          </cell>
          <cell r="D573">
            <v>999999</v>
          </cell>
          <cell r="E573" t="str">
            <v>006304-คุณเมธินี-ค่าอาหารรับรองเจ้าหน้าที่สรรพากร</v>
          </cell>
          <cell r="F573">
            <v>3080</v>
          </cell>
        </row>
        <row r="574">
          <cell r="C574" t="str">
            <v>99999-11630251</v>
          </cell>
          <cell r="D574" t="str">
            <v>040123</v>
          </cell>
          <cell r="E574" t="str">
            <v>17/6/2005-#5557</v>
          </cell>
          <cell r="F574">
            <v>38230.75</v>
          </cell>
        </row>
        <row r="577">
          <cell r="C577" t="str">
            <v>00004-62000000</v>
          </cell>
          <cell r="D577">
            <v>999999</v>
          </cell>
          <cell r="E577" t="str">
            <v>006312-คุณวรวรรณ-ค่าแท็กซี่ไป Survey โครงสร้าง BF,BP,BN,PA,NV 16-17/06/05,ค่ารถไปกลับองค์กรเภสัช เพื่อซื้อชุดทดสอบ Test Kit 16/06/05,ค่าทางด่วน</v>
          </cell>
          <cell r="F577">
            <v>1745</v>
          </cell>
        </row>
        <row r="578">
          <cell r="C578" t="str">
            <v>00013-62000000</v>
          </cell>
          <cell r="D578">
            <v>999999</v>
          </cell>
          <cell r="E578" t="str">
            <v>006313-คุณกิตติพงษ์-ค่ารถไปกลับจากลาดพร้ว- ESSO,ค่าทางด่วน ไปประชุม วันที่ 15/06/05</v>
          </cell>
          <cell r="F578">
            <v>320</v>
          </cell>
        </row>
        <row r="579">
          <cell r="C579" t="str">
            <v>00045-63050000</v>
          </cell>
          <cell r="D579">
            <v>999999</v>
          </cell>
          <cell r="E579" t="str">
            <v>006314-คุณมณฑิรา-ค่าแยก Sale Slip Credit Card วันที่1-15/06/05 9 วันๆละ 250 บ.</v>
          </cell>
          <cell r="F579">
            <v>2250</v>
          </cell>
        </row>
        <row r="580">
          <cell r="C580" t="str">
            <v>81200-62600000</v>
          </cell>
          <cell r="D580">
            <v>999999</v>
          </cell>
          <cell r="E580" t="str">
            <v>006315-คุณจุไรรัตน์-ค่าเลี้ยงรับรองอาหารกลางวันลูกค้า ESSO 17/06/05</v>
          </cell>
          <cell r="F580">
            <v>601</v>
          </cell>
        </row>
        <row r="581">
          <cell r="C581" t="str">
            <v>00044-11630251</v>
          </cell>
          <cell r="D581" t="str">
            <v>040123</v>
          </cell>
          <cell r="E581" t="str">
            <v>006315-คุณจุไรรัตน์-ค่าเลี้ยงรับรองอาหารกลางวันลูกค้า ESSO 17/06/05</v>
          </cell>
          <cell r="F581">
            <v>-601</v>
          </cell>
        </row>
        <row r="582">
          <cell r="C582" t="str">
            <v>00044-11630251</v>
          </cell>
          <cell r="D582" t="str">
            <v>040123</v>
          </cell>
          <cell r="E582" t="str">
            <v>006315-คุณจุไรรัตน์-ค่าเลี้ยงรับรองอาหารกลางวันลูกค้า ESSO 17/06/05</v>
          </cell>
          <cell r="F582">
            <v>601</v>
          </cell>
        </row>
        <row r="583">
          <cell r="C583" t="str">
            <v>00005-62000000</v>
          </cell>
          <cell r="D583">
            <v>999999</v>
          </cell>
          <cell r="E583" t="str">
            <v>006316-คุณกันตณา-ค่ารถไปเช็คพื้นที่สาขาตลิ่งชัน13/06/05,ค่ารถไปเคลียร์พื้นที่ให้ร้านค้าสาขาเซียร์รังสิต 06/05 ,ค่ารถไปเคลียร์เรื่องร้านค้ผลไม้ที่สาขาทองหล่อ 10/06</v>
          </cell>
          <cell r="F583">
            <v>754</v>
          </cell>
        </row>
        <row r="584">
          <cell r="C584" t="str">
            <v>00015-60141250</v>
          </cell>
          <cell r="D584">
            <v>999999</v>
          </cell>
          <cell r="E584" t="str">
            <v>006317-คุณสมพร-ค่ารักษาพยาบาล รพ.กรุงเทพ วันที่ 14/06/05</v>
          </cell>
          <cell r="F584">
            <v>2406.5</v>
          </cell>
        </row>
        <row r="585">
          <cell r="C585" t="str">
            <v>00015-62000000</v>
          </cell>
          <cell r="D585">
            <v>999999</v>
          </cell>
          <cell r="E585" t="str">
            <v>006318-คุณสมพร-ค่ารถ Mileage 220*4.83 ไปปฏิบัติงานด้านอาหารสดที่ TOPS สาขา RA,SE,PN,SA,PL,SI,NV,CL,NA,SK ระหว่างวันที่ 19/5/05-14/06/05</v>
          </cell>
          <cell r="F585">
            <v>1362.5</v>
          </cell>
        </row>
        <row r="586">
          <cell r="C586" t="str">
            <v>00017-62000000</v>
          </cell>
          <cell r="D586">
            <v>999999</v>
          </cell>
          <cell r="E586" t="str">
            <v>006319-คุณสายฝน-ค่ารถจากสนญ.ไปโรงแรม Maxx เพื่ออบรม Austration Meat 16/6/05</v>
          </cell>
          <cell r="F586">
            <v>110</v>
          </cell>
        </row>
        <row r="587">
          <cell r="C587" t="str">
            <v>00017-62000000</v>
          </cell>
          <cell r="D587">
            <v>999999</v>
          </cell>
          <cell r="E587" t="str">
            <v>006320-คุณวัฒนา-ค่ารถจากลาดพร้าวไปปิ่นเกล้า เพื่อดูการทำ Activinty ของสาขา 17/6/05</v>
          </cell>
          <cell r="F587">
            <v>346</v>
          </cell>
        </row>
        <row r="588">
          <cell r="C588" t="str">
            <v>00017-62000000</v>
          </cell>
          <cell r="D588">
            <v>999999</v>
          </cell>
          <cell r="E588" t="str">
            <v>006321-คุณวัฒนา-ค่ารถไปดูงานที่สาขาชิดลม และสาขารัตนาธิเบศร์ 16/06/05</v>
          </cell>
          <cell r="F588">
            <v>285</v>
          </cell>
        </row>
        <row r="589">
          <cell r="C589" t="str">
            <v>00095-60141250</v>
          </cell>
          <cell r="D589">
            <v>999999</v>
          </cell>
          <cell r="E589" t="str">
            <v>006322-คุณอุเทน-ค่ารักษาพยาบาล รพ.นนทเวช วันที่ 09/06/05</v>
          </cell>
          <cell r="F589">
            <v>1158</v>
          </cell>
        </row>
        <row r="590">
          <cell r="C590" t="str">
            <v>00015-61705150</v>
          </cell>
          <cell r="D590">
            <v>999999</v>
          </cell>
          <cell r="E590" t="str">
            <v>006323-คุณจารุณี-ค่า CD-R Princo 1 หลอด,ซองกระดาษสำหรับใส่ CD</v>
          </cell>
          <cell r="F590">
            <v>320</v>
          </cell>
        </row>
        <row r="591">
          <cell r="C591" t="str">
            <v>00095-62000000</v>
          </cell>
          <cell r="D591">
            <v>999999</v>
          </cell>
          <cell r="E591" t="str">
            <v>006324-คุณบรรเจิด-ค่าเบี้ยเลี้ยงไปประชุมที่สาขาอุตรดิตถ์ 19/04/05,ค่าเบี้ยเลี้ยงไปสาขาสมุย 11/05/05 = 220,ค่าเบี้ยเลี้ยงไปสมุย 18-20/05/05 = 300*3</v>
          </cell>
          <cell r="F591">
            <v>1340</v>
          </cell>
        </row>
        <row r="592">
          <cell r="C592" t="str">
            <v>00095-61805050</v>
          </cell>
          <cell r="D592">
            <v>999999</v>
          </cell>
          <cell r="E592" t="str">
            <v>006324-คุณบรรเจิด-ค่าที่จอดรถสนามบินดอนเมือง,ค่าภาษีสนามบินสมุย</v>
          </cell>
          <cell r="F592">
            <v>1340</v>
          </cell>
        </row>
        <row r="593">
          <cell r="C593" t="str">
            <v>00091-60141250</v>
          </cell>
          <cell r="D593">
            <v>999999</v>
          </cell>
          <cell r="E593" t="str">
            <v>006325-คุณฉันทนา-ค่ารักษาพยาบาล รพ.บำรุงราษฏร์ วันที่ 15/06/05</v>
          </cell>
          <cell r="F593">
            <v>1869</v>
          </cell>
        </row>
        <row r="594">
          <cell r="C594" t="str">
            <v>00064-61420000</v>
          </cell>
          <cell r="D594">
            <v>999999</v>
          </cell>
          <cell r="E594" t="str">
            <v>006326-คุณวันดี-ค่าซองจดหมายแบบกันกระแทกส่งเอกสาร</v>
          </cell>
          <cell r="F594">
            <v>42.99</v>
          </cell>
        </row>
        <row r="595">
          <cell r="C595" t="str">
            <v>45110-11630060</v>
          </cell>
          <cell r="D595">
            <v>999999</v>
          </cell>
          <cell r="E595" t="str">
            <v>006326-8168584-บีทูเอส</v>
          </cell>
          <cell r="F595">
            <v>3.01</v>
          </cell>
        </row>
        <row r="596">
          <cell r="C596" t="str">
            <v>00064-61420000</v>
          </cell>
          <cell r="D596">
            <v>999999</v>
          </cell>
          <cell r="E596" t="str">
            <v>006326/1-คุณชวลิต-ค่าส่งจดหมาย EMS,ธรรมดา</v>
          </cell>
          <cell r="F596">
            <v>165</v>
          </cell>
        </row>
        <row r="597">
          <cell r="C597" t="str">
            <v>00022-61920000</v>
          </cell>
          <cell r="D597">
            <v>999999</v>
          </cell>
          <cell r="E597" t="str">
            <v>006326/2-คุณนันทิมา-ค่าต่อทะเบียนรถ คุณสุจิตา ทะเบียน ภอ6329ประจำปี2549 13/06/05-13/06/06 CC: 00022</v>
          </cell>
          <cell r="F597">
            <v>3279</v>
          </cell>
        </row>
        <row r="598">
          <cell r="C598" t="str">
            <v>62800-61920000</v>
          </cell>
          <cell r="D598">
            <v>999999</v>
          </cell>
          <cell r="E598" t="str">
            <v>006326/3-คุณนันทิมา-ค่าต่อทะเบียนรถFDCประจำปี2549(ทะเบียนอว7556) 20/06/05-20/06/06</v>
          </cell>
          <cell r="F598">
            <v>1300</v>
          </cell>
        </row>
        <row r="599">
          <cell r="C599" t="str">
            <v>00044-11630251</v>
          </cell>
          <cell r="D599" t="str">
            <v>040123</v>
          </cell>
          <cell r="E599" t="str">
            <v>006326/3-คุณนันทิมา-ค่าต่อทะเบียนรถFDCประจำปี2549(ทะเบียนอว7556) 20/06/05-20/06/06</v>
          </cell>
          <cell r="F599">
            <v>-1300</v>
          </cell>
        </row>
        <row r="600">
          <cell r="C600" t="str">
            <v>00044-11630251</v>
          </cell>
          <cell r="D600" t="str">
            <v>040123</v>
          </cell>
          <cell r="E600" t="str">
            <v>006326/3-คุณนันทิมา-ค่าต่อทะเบียนรถFDCประจำปี2549(ทะเบียนอว7556) 20/06/05-20/06/06</v>
          </cell>
          <cell r="F600">
            <v>1300</v>
          </cell>
        </row>
        <row r="601">
          <cell r="C601" t="str">
            <v>00064-63050000</v>
          </cell>
          <cell r="D601">
            <v>999999</v>
          </cell>
          <cell r="E601" t="str">
            <v>006326/4-คุณนันทิมา-ค่าโยกย้ายโต๊ะ,เก้าอี้,ตู้,คอมพิวเตอร์,ปริ๊นเตอร์และของตาสงๆแผนกจัดซื้อวันที่10/6/48</v>
          </cell>
          <cell r="F601">
            <v>2200</v>
          </cell>
        </row>
        <row r="602">
          <cell r="C602" t="str">
            <v>00064-62100100</v>
          </cell>
          <cell r="D602">
            <v>999999</v>
          </cell>
          <cell r="E602" t="str">
            <v>006326/5-คุณนันทิมา-ค่าหลอดฟิวส์แก้วจำนวน 2 แพ็ค</v>
          </cell>
          <cell r="F602">
            <v>46.73</v>
          </cell>
        </row>
        <row r="603">
          <cell r="C603" t="str">
            <v>45110-11630060</v>
          </cell>
          <cell r="D603">
            <v>999999</v>
          </cell>
          <cell r="E603" t="str">
            <v>006326/5-S.Vatบจก.สรรพสิค้าเซ็นทรัล#054001863</v>
          </cell>
          <cell r="F603">
            <v>3.27</v>
          </cell>
        </row>
        <row r="604">
          <cell r="C604" t="str">
            <v>00025-60900000</v>
          </cell>
          <cell r="D604">
            <v>999999</v>
          </cell>
          <cell r="E604" t="str">
            <v>006326/6-คุณนันทิมา-ค่าแบตเตอร์รี่มือถือของแผนก LPสำรอง2ก้อนขดเชยก้อนเก่าที่เสื่อมสภาพ</v>
          </cell>
          <cell r="F604">
            <v>747.66</v>
          </cell>
        </row>
        <row r="605">
          <cell r="C605" t="str">
            <v>45110-11630060</v>
          </cell>
          <cell r="D605">
            <v>999999</v>
          </cell>
          <cell r="E605" t="str">
            <v>006326/6-คุณนันทิมา-S.Vatบจก.จัสมินสมาร์ทช็อป#ค่าแบตเตอรี่</v>
          </cell>
          <cell r="F605">
            <v>52.34</v>
          </cell>
        </row>
        <row r="606">
          <cell r="C606" t="str">
            <v>00064-61420000</v>
          </cell>
          <cell r="D606">
            <v>999999</v>
          </cell>
          <cell r="E606" t="str">
            <v>006326/7-คุณชวลิต-ค่าส่งจดหมายEMS,ธรรมดา</v>
          </cell>
          <cell r="F606">
            <v>510</v>
          </cell>
        </row>
        <row r="607">
          <cell r="C607" t="str">
            <v>00064-62000000</v>
          </cell>
          <cell r="D607">
            <v>999999</v>
          </cell>
          <cell r="E607" t="str">
            <v>006326/8-คุณชวลิต-ค่าจอดรถ SCB</v>
          </cell>
          <cell r="F607">
            <v>10</v>
          </cell>
        </row>
        <row r="608">
          <cell r="C608" t="str">
            <v>00063-62000000</v>
          </cell>
          <cell r="D608">
            <v>999999</v>
          </cell>
          <cell r="E608" t="str">
            <v>006326/9-คุณวันดี-ค่ารถขนเสื้อผ้าผ็บริจาคจากCRCมาที่TOPS</v>
          </cell>
          <cell r="F608">
            <v>200</v>
          </cell>
        </row>
        <row r="609">
          <cell r="C609" t="str">
            <v>00015-61705150</v>
          </cell>
          <cell r="D609">
            <v>999999</v>
          </cell>
          <cell r="E609" t="str">
            <v>006326/10-คุณนันทิมา-ค่าทำนามบัตรให้คุณจิตริณี</v>
          </cell>
          <cell r="F609">
            <v>650</v>
          </cell>
        </row>
        <row r="610">
          <cell r="C610" t="str">
            <v>00064-61420000</v>
          </cell>
          <cell r="D610">
            <v>999999</v>
          </cell>
          <cell r="E610" t="str">
            <v>006326/11-คุณชวลิต-ค่าส่งEMS,จดหมาย</v>
          </cell>
          <cell r="F610">
            <v>108</v>
          </cell>
        </row>
        <row r="611">
          <cell r="C611" t="str">
            <v>00064-61420000</v>
          </cell>
          <cell r="D611">
            <v>999999</v>
          </cell>
          <cell r="E611" t="str">
            <v>006326/12-คุณชวลิต-ค่าส่งEMS,</v>
          </cell>
          <cell r="F611">
            <v>476</v>
          </cell>
        </row>
        <row r="612">
          <cell r="C612" t="str">
            <v>00064-62100100</v>
          </cell>
          <cell r="D612">
            <v>999999</v>
          </cell>
          <cell r="E612" t="str">
            <v>006326/13-คุณนันทิมา-ค่าตรวจเช็คเครื่องกรองน้ำ 4 เครื่อง</v>
          </cell>
          <cell r="F612">
            <v>2000</v>
          </cell>
        </row>
        <row r="613">
          <cell r="C613" t="str">
            <v>45110-11630060</v>
          </cell>
          <cell r="D613">
            <v>999999</v>
          </cell>
          <cell r="E613" t="str">
            <v>006326/13-คุณนันทิมา-S.vat48/129 บจก.พิรุณทิพย์เทรดดิ้ง</v>
          </cell>
          <cell r="F613">
            <v>140</v>
          </cell>
        </row>
        <row r="614">
          <cell r="C614" t="str">
            <v>00064-61915000</v>
          </cell>
          <cell r="D614">
            <v>999999</v>
          </cell>
          <cell r="E614" t="str">
            <v>006326/14-คุณสำรวย-ค่าล้างดูดฝุ่น เคลือบล้อรถทะเบียนภบ3396</v>
          </cell>
          <cell r="F614">
            <v>330</v>
          </cell>
        </row>
        <row r="615">
          <cell r="C615" t="str">
            <v>00042-60141250</v>
          </cell>
          <cell r="D615">
            <v>999999</v>
          </cell>
          <cell r="E615" t="str">
            <v>006327-คุณเมธินี-ค่ารักษาพยาบาล รพ.ธนบุรี วันที่ 12/06/05</v>
          </cell>
          <cell r="F615">
            <v>629</v>
          </cell>
        </row>
        <row r="616">
          <cell r="C616" t="str">
            <v>00025-62000000</v>
          </cell>
          <cell r="D616">
            <v>999999</v>
          </cell>
          <cell r="E616" t="str">
            <v>006328-คุณพงศ์ศักดิ์-ค่ารถตรวจทางสาขาในช่วงเวลากลางคืน (BR,JW,PE,IP,LY,SL)</v>
          </cell>
          <cell r="F616">
            <v>780</v>
          </cell>
        </row>
        <row r="617">
          <cell r="C617" t="str">
            <v>00005-62000000</v>
          </cell>
          <cell r="D617">
            <v>999999</v>
          </cell>
          <cell r="E617" t="str">
            <v>006329-คุณพัชรี-ค่ารถไปหาร้านค้าใหม่ที่ซอยร่วมฤดี,ซอยทองหล่อ,ค่ารถจากทองหล่อกลับมาลาดพร้าว</v>
          </cell>
          <cell r="F617">
            <v>310</v>
          </cell>
        </row>
        <row r="618">
          <cell r="C618" t="str">
            <v>00005-62000000</v>
          </cell>
          <cell r="D618">
            <v>999999</v>
          </cell>
          <cell r="E618" t="str">
            <v>006330-คุณจันทรจิรา-ค่ารถไปวัดพื้นที่ให้ร้านยาลงพืนที่ใหม่ สาขาหนองจอก 10/06/05,ค่ารถดูร้านใหม่ที่รังสิต 09/06/05</v>
          </cell>
          <cell r="F618">
            <v>815</v>
          </cell>
        </row>
        <row r="619">
          <cell r="C619" t="str">
            <v>00052-60141250</v>
          </cell>
          <cell r="D619">
            <v>999999</v>
          </cell>
          <cell r="E619" t="str">
            <v>006331-คุณชญานุช-ค่ารักษาพยาบาล รพ.พญาไท 1 วันที่ 13/06/05</v>
          </cell>
          <cell r="F619">
            <v>2871</v>
          </cell>
        </row>
        <row r="620">
          <cell r="C620" t="str">
            <v>000042-6200000</v>
          </cell>
          <cell r="D620">
            <v>999999</v>
          </cell>
          <cell r="E620" t="str">
            <v>006332-คุณเมธินี-ค่ารถจากจรัญไปสนามบินดอนเมือง,ค่ารถจากสนามบินอุดร-สรรพากรจังหวัด,ค่ารถจากสรรพากรจังหวัดไปสาขา,ค่ารถจากดอนเมืองกลับจรัญ 35</v>
          </cell>
          <cell r="F620">
            <v>493</v>
          </cell>
        </row>
        <row r="621">
          <cell r="C621" t="str">
            <v>00052-60141250</v>
          </cell>
          <cell r="D621">
            <v>999999</v>
          </cell>
          <cell r="E621" t="str">
            <v>006333-คุณสุวรรณี-ค่ารักษาพยาบาล รพ.ศิครินทร์ วันที่ 11/06/05</v>
          </cell>
          <cell r="F621">
            <v>986</v>
          </cell>
        </row>
        <row r="622">
          <cell r="C622" t="str">
            <v>99999-11630251</v>
          </cell>
          <cell r="D622" t="str">
            <v>040123</v>
          </cell>
          <cell r="E622" t="str">
            <v>17/6/2005-#5686</v>
          </cell>
          <cell r="F622">
            <v>35355</v>
          </cell>
        </row>
        <row r="625">
          <cell r="C625" t="str">
            <v>00013-61810050</v>
          </cell>
          <cell r="D625">
            <v>999999</v>
          </cell>
          <cell r="E625" t="str">
            <v>006351-คุณอัจฉรา-ค่าอาหารระยะเวลา 7 วัน Business Trip in Australia</v>
          </cell>
          <cell r="F625">
            <v>2395</v>
          </cell>
        </row>
        <row r="626">
          <cell r="C626" t="str">
            <v>00013-61100000</v>
          </cell>
          <cell r="D626">
            <v>999999</v>
          </cell>
          <cell r="E626" t="str">
            <v>006351-คุณอัจฉรา-ค่าสินค้าตัวอย่าง Oral B</v>
          </cell>
          <cell r="F626">
            <v>62</v>
          </cell>
        </row>
        <row r="627">
          <cell r="C627" t="str">
            <v>00013-61810050</v>
          </cell>
          <cell r="D627">
            <v>999999</v>
          </cell>
          <cell r="E627" t="str">
            <v>006352-คุณพิมอร-ค่าอาหารระยะเวลา 7 วัน Business Trip in Australia</v>
          </cell>
          <cell r="F627">
            <v>2395</v>
          </cell>
        </row>
        <row r="628">
          <cell r="C628" t="str">
            <v>00013-61100000</v>
          </cell>
          <cell r="D628">
            <v>999999</v>
          </cell>
          <cell r="E628" t="str">
            <v>006352-คุณพิมอร--ค่าสินค้าตัวอย่าง Alcohol Fudge,Eden Organics Toothpaste,Soylife Yogurt</v>
          </cell>
          <cell r="F628">
            <v>450</v>
          </cell>
        </row>
        <row r="629">
          <cell r="C629" t="str">
            <v>00013-50141250</v>
          </cell>
          <cell r="D629">
            <v>999999</v>
          </cell>
          <cell r="E629" t="str">
            <v>006353-คุณอัจฉรา-ค่ารักษาพยาบาล รพ.นนทเวช วันที่ 12/06/05</v>
          </cell>
          <cell r="F629">
            <v>722</v>
          </cell>
        </row>
        <row r="630">
          <cell r="C630" t="str">
            <v>00025-60141250</v>
          </cell>
          <cell r="D630">
            <v>999999</v>
          </cell>
          <cell r="E630" t="str">
            <v>006354-คุณฉันทลักษณ์-ค่ารักษาพยาบาล-โรงพยาบาลวิภาราม วันที่19/06/05</v>
          </cell>
          <cell r="F630">
            <v>798</v>
          </cell>
        </row>
        <row r="631">
          <cell r="C631" t="str">
            <v>00054-62000000</v>
          </cell>
          <cell r="D631">
            <v>999999</v>
          </cell>
          <cell r="E631" t="str">
            <v>006355-คุณสุกัญญา-ค่ารถไปงามวงศ์วาน  เกษตร สะพานใหม่ สะพานควาย รัชดา บางกะปิ แม็คโครบางกะปิ ลาดพร้าว</v>
          </cell>
          <cell r="F631">
            <v>2760</v>
          </cell>
        </row>
        <row r="632">
          <cell r="C632" t="str">
            <v>00054-62000000</v>
          </cell>
          <cell r="D632">
            <v>999999</v>
          </cell>
          <cell r="E632" t="str">
            <v>006356-คุณอัญชนา-ค่ารถแท็กซี่ ไปงามวงศ์วาน สะพานใหม่ ลาดพร้า รัชดา บางกะปิ เอ็มโพเรียม</v>
          </cell>
          <cell r="F632">
            <v>2760</v>
          </cell>
        </row>
        <row r="633">
          <cell r="C633" t="str">
            <v>00072-62000000</v>
          </cell>
          <cell r="D633">
            <v>999999</v>
          </cell>
          <cell r="E633" t="str">
            <v>006357-คุณเวียง-ค่ารถเข้าคุมแก้ไขงานเซียร์รังสิตตั้งแต่วันที่ 20/05-20/06,ค่าทางด่วน</v>
          </cell>
          <cell r="F633">
            <v>2220</v>
          </cell>
        </row>
        <row r="634">
          <cell r="C634" t="str">
            <v>00003-62000000</v>
          </cell>
          <cell r="D634">
            <v>999999</v>
          </cell>
          <cell r="E634" t="str">
            <v>006334-คุณอลงกรณ์-ค่ารถจากสนญ.-เซ็นทรัลเวิร์ดพลาซ่าเพื่อติดต่อประสานงานการอบรม 17/06/05,ค่ารถจาก HO-รามอินทรา เพื่อจัดการอบรมหลักสูตร "การดับเพลิงขั้นต้น"</v>
          </cell>
          <cell r="F634">
            <v>345</v>
          </cell>
        </row>
        <row r="635">
          <cell r="C635" t="str">
            <v>00003-62000000</v>
          </cell>
          <cell r="D635">
            <v>999999</v>
          </cell>
          <cell r="E635" t="str">
            <v>006335-คุณณัฐณิชา-ค่ารถจากถ.ท่าอากาศอุทิศไปรามอินทรา เพื่อนำเอกสารในการฝึกอบรมการดับเพลิงขั้นต้น 20/06/05</v>
          </cell>
          <cell r="F635">
            <v>109</v>
          </cell>
        </row>
        <row r="636">
          <cell r="C636" t="str">
            <v>00003-60144110</v>
          </cell>
          <cell r="D636">
            <v>999999</v>
          </cell>
          <cell r="E636" t="str">
            <v>006335-คุณณัฐณิชา-ค่ากระดาษเซลล็อกซ์ใช้ในการอบรมการดับเพลิงขั้นต้นให้พนักงาน</v>
          </cell>
          <cell r="F636">
            <v>43.46</v>
          </cell>
        </row>
        <row r="637">
          <cell r="C637" t="str">
            <v>00003-60144110</v>
          </cell>
          <cell r="D637">
            <v>888888</v>
          </cell>
          <cell r="E637" t="str">
            <v>006335-คุณณัฐณิชา-Unclaimค่ากระดาษเซลล็อกซ์ใช้ในการอบรมการดับเพลิงขั้นต้นให้พนักงาน</v>
          </cell>
          <cell r="F637">
            <v>3.04</v>
          </cell>
        </row>
        <row r="638">
          <cell r="C638" t="str">
            <v>00004-62000000</v>
          </cell>
          <cell r="D638">
            <v>999999</v>
          </cell>
          <cell r="E638" t="str">
            <v>006336-คุณดุสิต-ค่ารถไปกลับ สนญ.-ชิดลม-เอฟดีซี,ปิ่นเกล้า ไปตรวจฉลาก,ไปฝึกงาน 16-17/06/05,20-21/06/05</v>
          </cell>
          <cell r="F638">
            <v>908</v>
          </cell>
        </row>
        <row r="639">
          <cell r="C639" t="str">
            <v>00004-60144110</v>
          </cell>
          <cell r="D639">
            <v>999999</v>
          </cell>
          <cell r="E639" t="str">
            <v>006336-คุณดุสิต-ค่าขนม,ค่ากาแฟ,ไมโล- อบรมระหว่างผจก.ศูนย์อาหาร</v>
          </cell>
          <cell r="F639">
            <v>933.17</v>
          </cell>
        </row>
        <row r="640">
          <cell r="C640" t="str">
            <v>00004-60144110</v>
          </cell>
          <cell r="D640">
            <v>888888</v>
          </cell>
          <cell r="E640" t="str">
            <v>006336-คุณดุสิต-Unclaimค่าขนม,ค่ากาแฟ,ไมโล- อบรมระหว่างผจก.ศูนย์อาหาร</v>
          </cell>
          <cell r="F640">
            <v>65.33</v>
          </cell>
        </row>
        <row r="641">
          <cell r="C641" t="str">
            <v>00004-60900000</v>
          </cell>
          <cell r="D641">
            <v>999999</v>
          </cell>
          <cell r="E641" t="str">
            <v>006336-คุณดุสิต-ค่าอัดรูป TOPS NEWS</v>
          </cell>
          <cell r="F641">
            <v>8.41</v>
          </cell>
        </row>
        <row r="642">
          <cell r="C642" t="str">
            <v>45110-11630060</v>
          </cell>
          <cell r="D642">
            <v>999999</v>
          </cell>
          <cell r="E642" t="str">
            <v>006336-087286-เพาเวอร์ บาย</v>
          </cell>
          <cell r="F642">
            <v>0.59</v>
          </cell>
        </row>
        <row r="643">
          <cell r="C643" t="str">
            <v>26990-62920000</v>
          </cell>
          <cell r="D643">
            <v>999999</v>
          </cell>
          <cell r="E643" t="str">
            <v>006337-คุณวิไล-ค่าภาษีน้ำดื่มประจำเดือน5/48สาขารัชดา</v>
          </cell>
          <cell r="F643">
            <v>268.95999999999998</v>
          </cell>
        </row>
        <row r="644">
          <cell r="C644" t="str">
            <v>00044-11630251</v>
          </cell>
          <cell r="D644" t="str">
            <v>040123</v>
          </cell>
          <cell r="E644" t="str">
            <v>006337-คุณวิไล-ค่าภาษีน้ำดื่มประจำเดือน5/48สาขารัชดา</v>
          </cell>
          <cell r="F644">
            <v>-268.95999999999998</v>
          </cell>
        </row>
        <row r="645">
          <cell r="C645" t="str">
            <v>00044-11630251</v>
          </cell>
          <cell r="D645" t="str">
            <v>040123</v>
          </cell>
          <cell r="E645" t="str">
            <v>006337-คุณวิไล-ค่าภาษีน้ำดื่มประจำเดือน5/48สาขารัชดา</v>
          </cell>
          <cell r="F645">
            <v>268.95999999999998</v>
          </cell>
        </row>
        <row r="646">
          <cell r="C646" t="str">
            <v>26990-62920000</v>
          </cell>
          <cell r="D646">
            <v>999999</v>
          </cell>
          <cell r="E646" t="str">
            <v>006337-คุณวิไล-ค่าภาษีน้ำดื่มประจำเดือน5/48สาขาสุขุมวิท</v>
          </cell>
          <cell r="F646">
            <v>328.74</v>
          </cell>
        </row>
        <row r="647">
          <cell r="C647" t="str">
            <v>00044-11630251</v>
          </cell>
          <cell r="D647" t="str">
            <v>040123</v>
          </cell>
          <cell r="E647" t="str">
            <v>006337-คุณวิไล-ค่าภาษีน้ำดื่มประจำเดือน5/48สาขาสุขุมวิท</v>
          </cell>
          <cell r="F647">
            <v>-328.74</v>
          </cell>
        </row>
        <row r="648">
          <cell r="C648" t="str">
            <v>00044-11630251</v>
          </cell>
          <cell r="D648" t="str">
            <v>040123</v>
          </cell>
          <cell r="E648" t="str">
            <v>006337-คุณวิไล-ค่าภาษีน้ำดื่มประจำเดือน5/48สาขาสุขุมวิท</v>
          </cell>
          <cell r="F648">
            <v>328.74</v>
          </cell>
        </row>
        <row r="649">
          <cell r="C649" t="str">
            <v>26990-62920000</v>
          </cell>
          <cell r="D649">
            <v>999999</v>
          </cell>
          <cell r="E649" t="str">
            <v>006337-คุณวิไล-ค่าภาษีน้ำประจำเดือน5/48สาขาทองหล่อ</v>
          </cell>
          <cell r="F649">
            <v>149.41999999999999</v>
          </cell>
        </row>
        <row r="650">
          <cell r="C650" t="str">
            <v>00044-11630251</v>
          </cell>
          <cell r="D650" t="str">
            <v>040123</v>
          </cell>
          <cell r="E650" t="str">
            <v>006337-คุณวิไล-ค่าภาษีน้ำประจำเดือน5/48สาขาทองหล่อ</v>
          </cell>
          <cell r="F650">
            <v>-149.41999999999999</v>
          </cell>
        </row>
        <row r="651">
          <cell r="C651" t="str">
            <v>00044-11630251</v>
          </cell>
          <cell r="D651" t="str">
            <v>040123</v>
          </cell>
          <cell r="E651" t="str">
            <v>006337-คุณวิไล-ค่าภาษีน้ำประจำเดือน5/48สาขาทองหล่อ</v>
          </cell>
          <cell r="F651">
            <v>149.41999999999999</v>
          </cell>
        </row>
        <row r="652">
          <cell r="C652" t="str">
            <v>26990-62920000</v>
          </cell>
          <cell r="D652">
            <v>999999</v>
          </cell>
          <cell r="E652" t="str">
            <v>006337-คุณวิไล-ค่าภาษีน้ำประจำเดือน5/48สาขาชิดลม</v>
          </cell>
          <cell r="F652">
            <v>425.85</v>
          </cell>
        </row>
        <row r="653">
          <cell r="C653" t="str">
            <v>00044-11630251</v>
          </cell>
          <cell r="D653" t="str">
            <v>040123</v>
          </cell>
          <cell r="E653" t="str">
            <v>006337-คุณวิไล-ค่าภาษีน้ำประจำเดือน5/48สาขาชิดลม</v>
          </cell>
          <cell r="F653">
            <v>-425.85</v>
          </cell>
        </row>
        <row r="654">
          <cell r="C654" t="str">
            <v>00044-11630251</v>
          </cell>
          <cell r="D654" t="str">
            <v>040123</v>
          </cell>
          <cell r="E654" t="str">
            <v>006337-คุณวิไล-ค่าภาษีน้ำประจำเดือน5/48สาขาชิดลม</v>
          </cell>
          <cell r="F654">
            <v>425.85</v>
          </cell>
        </row>
        <row r="655">
          <cell r="C655" t="str">
            <v>26990-62920000</v>
          </cell>
          <cell r="D655">
            <v>999999</v>
          </cell>
          <cell r="E655" t="str">
            <v>006337-คุณวิไล-ค่าภาษีน้ำประจำเดือน5/48สาขาบางนา</v>
          </cell>
          <cell r="F655">
            <v>276.52999999999997</v>
          </cell>
        </row>
        <row r="656">
          <cell r="C656" t="str">
            <v>00044-11630251</v>
          </cell>
          <cell r="D656" t="str">
            <v>040123</v>
          </cell>
          <cell r="E656" t="str">
            <v>006337-คุณวิไล-ค่าภาษีน้ำประจำเดือน5/48สาขาบางนา</v>
          </cell>
          <cell r="F656">
            <v>-276.52999999999997</v>
          </cell>
        </row>
        <row r="657">
          <cell r="C657" t="str">
            <v>00044-11630251</v>
          </cell>
          <cell r="D657" t="str">
            <v>040123</v>
          </cell>
          <cell r="E657" t="str">
            <v>006337-คุณวิไล-ค่าภาษีน้ำประจำเดือน5/48สาขาบางนา</v>
          </cell>
          <cell r="F657">
            <v>276.52999999999997</v>
          </cell>
        </row>
        <row r="658">
          <cell r="C658" t="str">
            <v>00024-62000000</v>
          </cell>
          <cell r="D658">
            <v>999999</v>
          </cell>
          <cell r="E658" t="str">
            <v>006338-คุณชวนพิศ-ค่ารถไป-กลับลาดพร้าว-เมืองทองธานีไปติดต่อร้านค้าในส่วนของFood</v>
          </cell>
          <cell r="F658">
            <v>260</v>
          </cell>
        </row>
        <row r="659">
          <cell r="C659" t="str">
            <v>00024-62000000</v>
          </cell>
          <cell r="D659">
            <v>999999</v>
          </cell>
          <cell r="E659" t="str">
            <v>006339-คุณศิวพร-ค่ารถ+ทางด่วนไปกลับลาดพร้าว-ออซีซั่นวันที่15/6/48</v>
          </cell>
          <cell r="F659">
            <v>295</v>
          </cell>
        </row>
        <row r="660">
          <cell r="C660" t="str">
            <v>00024-62000000</v>
          </cell>
          <cell r="D660">
            <v>999999</v>
          </cell>
          <cell r="E660" t="str">
            <v>006340-คุณธนิศรา-ค่ารถไป-กลับสาขาNL.RT CL PK HO SV RD   TLเพื่อสอนต้มน้ำและดู</v>
          </cell>
          <cell r="F660">
            <v>1311</v>
          </cell>
        </row>
        <row r="661">
          <cell r="C661" t="str">
            <v>00024-62000000</v>
          </cell>
          <cell r="D661">
            <v>999999</v>
          </cell>
          <cell r="E661" t="str">
            <v>006341-คุณจิราภา-ค่ารถจากลาดพร้าวไปโลตัส แฟชั่นไอแลนด์เพื่อสำรวจคู่แข่ง</v>
          </cell>
          <cell r="F661">
            <v>575</v>
          </cell>
        </row>
        <row r="662">
          <cell r="C662" t="str">
            <v>00024-62000000</v>
          </cell>
          <cell r="D662">
            <v>999999</v>
          </cell>
          <cell r="E662" t="str">
            <v>006342-คุณธนิศรา-ค่ารถไป-กลับสาขามาบุญครองเพื่อตรวจเยี่ยมสาขาวันที่10/6/48</v>
          </cell>
          <cell r="F662">
            <v>176</v>
          </cell>
        </row>
        <row r="663">
          <cell r="C663" t="str">
            <v>00024-63050000</v>
          </cell>
          <cell r="D663">
            <v>999999</v>
          </cell>
          <cell r="E663" t="str">
            <v>006343-คุณชวนพิศ-ค่าอาหารและเครื่องดื่ม(ชิม)ที่สาขาชิดลมเพื่อหาร้านค้าในแผนกSuper-out</v>
          </cell>
          <cell r="F663">
            <v>1071</v>
          </cell>
        </row>
        <row r="664">
          <cell r="C664" t="str">
            <v>99999-11635104</v>
          </cell>
          <cell r="D664">
            <v>999999</v>
          </cell>
          <cell r="E664" t="str">
            <v>006344-คุณจิระภา-Advanceค่าจัดอบรมหัวหน้าแผนกFood&amp;Beveraec</v>
          </cell>
          <cell r="F664">
            <v>4000</v>
          </cell>
        </row>
        <row r="665">
          <cell r="C665" t="str">
            <v>00015-62000000</v>
          </cell>
          <cell r="D665">
            <v>999999</v>
          </cell>
          <cell r="E665" t="str">
            <v>006345-คุณรุ่งทิวา-ค่ารถจาก Hoไปสาขาตลิ่งชัน,เพื่อถ่ายรูปงานแก้ไขส่งควบคุมอาหารและยา,ค่ารถไปกระทรวงสาธารณสุข 17,20/06/05</v>
          </cell>
          <cell r="F665">
            <v>310</v>
          </cell>
        </row>
        <row r="666">
          <cell r="C666" t="str">
            <v>00044-60141250</v>
          </cell>
          <cell r="D666">
            <v>999999</v>
          </cell>
          <cell r="E666" t="str">
            <v>006346-คุณกมลชนก-ค่ารักษาพยาบาล รพ.พญาไท 1 วันที่ 18/06/05</v>
          </cell>
          <cell r="F666">
            <v>1141.75</v>
          </cell>
        </row>
        <row r="667">
          <cell r="C667" t="str">
            <v>00062-62000000</v>
          </cell>
          <cell r="D667">
            <v>999999</v>
          </cell>
          <cell r="E667" t="str">
            <v>006347-คุณวราภรณ์-ค่ารถไปจัด Job Fair รับสมัครงานที่ฟิวเจอร์บางแค 18/06/05</v>
          </cell>
          <cell r="F667">
            <v>368</v>
          </cell>
        </row>
        <row r="668">
          <cell r="C668" t="str">
            <v>00015-62000000</v>
          </cell>
          <cell r="D668">
            <v>999999</v>
          </cell>
          <cell r="E668" t="str">
            <v>006348-คุณชรัส-ค่ารถ Mileage 205*4.83 ,ค่าทางด่วน ปฏิบัติงานอาหารสด สาขา LY,IP,PE,PY,BF,BP,SK,BM,TC,PU 08-15/06/05</v>
          </cell>
          <cell r="F668">
            <v>1190</v>
          </cell>
        </row>
        <row r="669">
          <cell r="C669" t="str">
            <v>00015-60900000</v>
          </cell>
          <cell r="D669">
            <v>999999</v>
          </cell>
          <cell r="E669" t="str">
            <v>006349-คุณชรัส-ค่าล้างอัดรูปสีอัดภาพจัดเรียงสินค้า</v>
          </cell>
          <cell r="F669">
            <v>130.84</v>
          </cell>
        </row>
        <row r="670">
          <cell r="C670" t="str">
            <v>45110-11630060</v>
          </cell>
          <cell r="D670">
            <v>999999</v>
          </cell>
          <cell r="E670" t="str">
            <v>006349-019/0933-ห้องภาพเมฆินทร์</v>
          </cell>
          <cell r="F670">
            <v>9.16</v>
          </cell>
        </row>
        <row r="671">
          <cell r="C671" t="str">
            <v>00003-60144110</v>
          </cell>
          <cell r="D671">
            <v>999999</v>
          </cell>
          <cell r="E671" t="str">
            <v>006350-คุณอลงกรณ์-ค่าล้างอัดรูป การอบรมหลักสูตร "การดับเพลิงขั้นต้น"</v>
          </cell>
          <cell r="F671">
            <v>157.01</v>
          </cell>
        </row>
        <row r="672">
          <cell r="C672" t="str">
            <v>45110-11630060</v>
          </cell>
          <cell r="D672">
            <v>999999</v>
          </cell>
          <cell r="E672" t="str">
            <v>006350-1041/52019-คัลเลอร์ อิมเมจ (1999)</v>
          </cell>
          <cell r="F672">
            <v>10.99</v>
          </cell>
        </row>
        <row r="673">
          <cell r="C673" t="str">
            <v>00044-62000000</v>
          </cell>
          <cell r="D673">
            <v>999999</v>
          </cell>
          <cell r="E673" t="str">
            <v>006358-คุณวิยะดา-ค่ารถไฟฟ้าไปกลับสนญ.-Fast บางรัก อบรมระบบรับชำระ 2 วัน 06,08/06/05</v>
          </cell>
          <cell r="F673">
            <v>3320</v>
          </cell>
        </row>
        <row r="674">
          <cell r="C674" t="str">
            <v>99999-11630251</v>
          </cell>
          <cell r="D674" t="str">
            <v>040123</v>
          </cell>
          <cell r="E674" t="str">
            <v>21/6/2005-#5687</v>
          </cell>
          <cell r="F674">
            <v>32753.249999999996</v>
          </cell>
        </row>
        <row r="677">
          <cell r="C677" t="str">
            <v>00042-62000000</v>
          </cell>
          <cell r="D677">
            <v>999999</v>
          </cell>
          <cell r="E677" t="str">
            <v>006359-คุณนภาพร-ค่ารถไป DC บางบัวทอง พบเจ้าหน้าที่ ปลัด อบต.ละหาร เรื่องภาษีโรงเรือน+ป้ายภาษี 16/06/05</v>
          </cell>
          <cell r="F677">
            <v>400</v>
          </cell>
        </row>
        <row r="678">
          <cell r="C678" t="str">
            <v>00042-62000000</v>
          </cell>
          <cell r="D678">
            <v>999999</v>
          </cell>
          <cell r="E678" t="str">
            <v>006360-คุณวรางคณา-ค่ารถไปกรมสรรพามิตยื่นภาษีน้ำ 05/05</v>
          </cell>
          <cell r="F678">
            <v>70</v>
          </cell>
        </row>
        <row r="679">
          <cell r="C679" t="str">
            <v>00017-60141250</v>
          </cell>
          <cell r="D679">
            <v>999999</v>
          </cell>
          <cell r="E679" t="str">
            <v>006362-คุณพรรณี-ค่ารักษาพยาบาล รพ.เซ็นทรัลเยนเนอรัล วันที่ 10/06/05</v>
          </cell>
          <cell r="F679">
            <v>1382</v>
          </cell>
        </row>
        <row r="680">
          <cell r="C680" t="str">
            <v>00024-60141250</v>
          </cell>
          <cell r="D680">
            <v>999999</v>
          </cell>
          <cell r="E680" t="str">
            <v>006363-คุณมุรธา-ค่ารักษาพยาบาล ตาอักเสบ</v>
          </cell>
          <cell r="F680">
            <v>598</v>
          </cell>
        </row>
        <row r="681">
          <cell r="C681" t="str">
            <v>00072-61405000</v>
          </cell>
          <cell r="D681">
            <v>999999</v>
          </cell>
          <cell r="E681" t="str">
            <v>006364-คุณละเอียด-ค่าโทรศัพท์ 2 เลขหมายเพื่อทำการยกเลิกเลขหมายโทรศัพท์ ของสาขาพรานนก</v>
          </cell>
          <cell r="F681">
            <v>428</v>
          </cell>
        </row>
        <row r="682">
          <cell r="C682" t="str">
            <v>00072-62000000</v>
          </cell>
          <cell r="D682">
            <v>999999</v>
          </cell>
          <cell r="E682" t="str">
            <v>006364-คุณละเอียด-ค่ารถไปองค์การโทรศัพท์ที่หัวหมาก</v>
          </cell>
          <cell r="F682">
            <v>90</v>
          </cell>
        </row>
        <row r="683">
          <cell r="C683" t="str">
            <v>00095-61805050</v>
          </cell>
          <cell r="D683">
            <v>999999</v>
          </cell>
          <cell r="E683" t="str">
            <v>006365-คุณอนันต์-ค่ารถทัวร์ไปกลับกรุงเทพ-ศรีราชา 18/06/05</v>
          </cell>
          <cell r="F683">
            <v>152</v>
          </cell>
        </row>
        <row r="684">
          <cell r="C684" t="str">
            <v>00095-61805050</v>
          </cell>
          <cell r="D684">
            <v>999999</v>
          </cell>
          <cell r="E684" t="str">
            <v>006365-คุณอนันต์-ค่าเบี้ยเลี้ยงไปทำงานที่สาขาศรีราชา</v>
          </cell>
          <cell r="F684">
            <v>160</v>
          </cell>
        </row>
        <row r="685">
          <cell r="C685" t="str">
            <v>00095-62000000</v>
          </cell>
          <cell r="D685">
            <v>999999</v>
          </cell>
          <cell r="E685" t="str">
            <v>006365-คุณอนันต์-ค่ารถแท็กซี่ไปสาขาเกษตร,สุขุมวิท 19,บางนา เปลี่ยนอุปกรณ์ฝาม้วนเจอนอล,เปลี่ยนหัวพิมพ์เครื่องชั่ง</v>
          </cell>
          <cell r="F685">
            <v>1114</v>
          </cell>
        </row>
        <row r="686">
          <cell r="C686" t="str">
            <v>00024-60141250</v>
          </cell>
          <cell r="D686">
            <v>999999</v>
          </cell>
          <cell r="E686" t="str">
            <v>006366-คุณพรทิพย์-ค่ารักษาพยาบาล รพ.เปาโล วันที่ 17/06/05</v>
          </cell>
          <cell r="F686">
            <v>3267</v>
          </cell>
        </row>
        <row r="687">
          <cell r="C687" t="str">
            <v>99999-11635104</v>
          </cell>
          <cell r="D687">
            <v>999999</v>
          </cell>
          <cell r="E687" t="str">
            <v>006367-คุณไพรินทร์- ADV.P06/031</v>
          </cell>
          <cell r="F687">
            <v>5000</v>
          </cell>
        </row>
        <row r="688">
          <cell r="C688" t="str">
            <v>00012-62000000</v>
          </cell>
          <cell r="D688">
            <v>999999</v>
          </cell>
          <cell r="E688" t="str">
            <v>006368-คุณชญานี-ค่ารถจากเอ็มโพเรียมกลับลาดพร้าวไปดูสินค้าคู่แข่ง 22/06/05</v>
          </cell>
          <cell r="F688">
            <v>90</v>
          </cell>
        </row>
        <row r="689">
          <cell r="C689" t="str">
            <v>00012-62000000</v>
          </cell>
          <cell r="D689">
            <v>999999</v>
          </cell>
          <cell r="E689" t="str">
            <v>006369-คุณชญานี-ค่ารถจากเอ็มโพเรียมกลับลาดพร้าวไปดูสินค้าคู่แข่ง 21/06/05</v>
          </cell>
          <cell r="F689">
            <v>130</v>
          </cell>
        </row>
        <row r="690">
          <cell r="C690" t="str">
            <v>00012-62000000</v>
          </cell>
          <cell r="D690">
            <v>999999</v>
          </cell>
          <cell r="E690" t="str">
            <v>006370-คุณปราถนา-ค่ารถจากเอ็มโพเรียมกลับบ้านที่รังสิต 21/06 ไปดูสินค้าเครื่องครัว</v>
          </cell>
          <cell r="F690">
            <v>320</v>
          </cell>
        </row>
        <row r="691">
          <cell r="C691" t="str">
            <v>00023-62000000</v>
          </cell>
          <cell r="D691">
            <v>999999</v>
          </cell>
          <cell r="E691" t="str">
            <v>006371-คุณปิยวรรณ-ค่ารถไปสรงประภาวันที่17/06/05</v>
          </cell>
          <cell r="F691">
            <v>400</v>
          </cell>
        </row>
        <row r="692">
          <cell r="C692" t="str">
            <v>00023-62000000</v>
          </cell>
          <cell r="D692">
            <v>999999</v>
          </cell>
          <cell r="E692" t="str">
            <v>006372-คุณปิยวรรณ-ค่ารถแท็กซี่ ไปสาขาสุขุมวิท19,โชคชัย4, เซี่ยร์ รามอินทรา ,พลาซ่าลากูล</v>
          </cell>
          <cell r="F692">
            <v>673</v>
          </cell>
        </row>
        <row r="693">
          <cell r="C693" t="str">
            <v>00023-62000000</v>
          </cell>
          <cell r="D693">
            <v>999999</v>
          </cell>
          <cell r="E693" t="str">
            <v>006373-คุณปิยวรรณ-ค่ารถแท็กซี่ไปสาขาสุขุมวิท19,ลาดพร้าว,โชคชัย,ศีย่าน</v>
          </cell>
          <cell r="F693">
            <v>497</v>
          </cell>
        </row>
        <row r="694">
          <cell r="C694" t="str">
            <v>00023-62000000</v>
          </cell>
          <cell r="D694">
            <v>999999</v>
          </cell>
          <cell r="E694" t="str">
            <v>006374-คุณปิยวรรณ-ค่ารถแท็กซี่ ไปลาดกระบัง รามคำแหง ซีคอน</v>
          </cell>
          <cell r="F694">
            <v>496</v>
          </cell>
        </row>
        <row r="695">
          <cell r="C695" t="str">
            <v>99999-11635104</v>
          </cell>
          <cell r="D695">
            <v>999999</v>
          </cell>
          <cell r="E695" t="str">
            <v>006375-คุณศุภนา- Adv.P06/032</v>
          </cell>
          <cell r="F695">
            <v>5000</v>
          </cell>
        </row>
        <row r="696">
          <cell r="C696" t="str">
            <v>00025-62000000</v>
          </cell>
          <cell r="D696">
            <v>999999</v>
          </cell>
          <cell r="E696" t="str">
            <v>006376-คุณปัญญา-ค่ารถไปสาขาพุทธมณฑล,ตลิ่งชัน,อิสรภาพ,ประชาอุทิศ,ริเวอร์พลาซ่า,พรานนก,แพรกษา,เจริญกรุง,เซียร์รังสิต,ศรีย่าน ตรวจ Check list ระบบ EAS</v>
          </cell>
          <cell r="F696">
            <v>700</v>
          </cell>
        </row>
        <row r="697">
          <cell r="C697" t="str">
            <v>00012-62000000</v>
          </cell>
          <cell r="D697">
            <v>999999</v>
          </cell>
          <cell r="E697" t="str">
            <v>006377-คุณอริยา-ค่ารถไปประชุมที่สมาคมค้าปลีกที่พระราม 9 21/06/05</v>
          </cell>
          <cell r="F697">
            <v>100</v>
          </cell>
        </row>
        <row r="698">
          <cell r="C698" t="str">
            <v>00014-60141250</v>
          </cell>
          <cell r="D698">
            <v>999999</v>
          </cell>
          <cell r="E698" t="str">
            <v>006378-คุณลักขณา-ค่ารักษาพยาบาล รพ.เปาโล วันที่ 15/06/05</v>
          </cell>
          <cell r="F698">
            <v>492</v>
          </cell>
        </row>
        <row r="699">
          <cell r="C699" t="str">
            <v>00052-62000000</v>
          </cell>
          <cell r="D699">
            <v>999999</v>
          </cell>
          <cell r="E699" t="str">
            <v>006379-คุณศิริวัฒน์-ค่ารถไปกลับสาขาเซียร์รังสิต ดูพื้นที่จัดงานจับรางวัล 09/06/05</v>
          </cell>
          <cell r="F699">
            <v>364</v>
          </cell>
        </row>
        <row r="700">
          <cell r="C700" t="str">
            <v>00051-62000000</v>
          </cell>
          <cell r="D700">
            <v>999999</v>
          </cell>
          <cell r="E700" t="str">
            <v>006379-คุณจิตติพร-ค่ารถไปรร.คอนราด ส่งเอกสารให้ลูกค้าเซ็นต์ 02/06/05,ค่ารถไปกลับจตุจักรซื้อวัสดุแต่งกระเช้า 03/06/05</v>
          </cell>
          <cell r="F700">
            <v>390</v>
          </cell>
        </row>
        <row r="701">
          <cell r="C701" t="str">
            <v>00051-62000000</v>
          </cell>
          <cell r="D701">
            <v>999999</v>
          </cell>
          <cell r="E701" t="str">
            <v>006379-คุณชนิดา-ค่ารถไปกลับลาดพร้าว-เสาชิงช้า เพื่อซื้อกระเช้า 09/06/05,ค่ารถไปกลับลาดพร้าว-ชิดลม นำสินค้า Waitrose ให้กับตระกูลจิราธิวัฒน์,ค่าทางด่วน 10/06/05</v>
          </cell>
          <cell r="F701">
            <v>631</v>
          </cell>
        </row>
        <row r="702">
          <cell r="C702" t="str">
            <v>00052-62000000</v>
          </cell>
          <cell r="D702">
            <v>999999</v>
          </cell>
          <cell r="E702" t="str">
            <v>006379-คุณพิศิษฐ-ค่ารถไปตึก KPN,ตึก GMM,พลาซ่าลากูน ไปงาน 100 เมนูมหัศจรรย์ ลำไยไทย วันที่ 10,14/06/05</v>
          </cell>
          <cell r="F702">
            <v>460</v>
          </cell>
        </row>
        <row r="703">
          <cell r="C703" t="str">
            <v>00052-62000000</v>
          </cell>
          <cell r="D703">
            <v>999999</v>
          </cell>
          <cell r="E703" t="str">
            <v>006379-คุณศิริลักษณ์-ค่ารถไปตลาด อ.ต.ก  เพื่อซื้อลำไยมาถ่ายรูป 15/06/05</v>
          </cell>
          <cell r="F703">
            <v>69</v>
          </cell>
        </row>
        <row r="704">
          <cell r="C704" t="str">
            <v>00052-60205250</v>
          </cell>
          <cell r="D704">
            <v>999999</v>
          </cell>
          <cell r="E704" t="str">
            <v>006379-คุณศิริลักษณ์-ค่าซื้อลำไยมาถ่ายรูปลงปก Mail</v>
          </cell>
          <cell r="F704">
            <v>350</v>
          </cell>
        </row>
        <row r="705">
          <cell r="C705" t="str">
            <v>00051-62000000</v>
          </cell>
          <cell r="D705">
            <v>999999</v>
          </cell>
          <cell r="E705" t="str">
            <v>006379-คุณจิตติพร-ค่ารถไปกลับลาดพร้าว-เซียร์ ไปพิธีจับรางวัลบัตรของขวัญ TOPS 14/06/05,ค่าทางด่วน</v>
          </cell>
          <cell r="F705">
            <v>380</v>
          </cell>
        </row>
        <row r="706">
          <cell r="C706" t="str">
            <v>00051-62400000</v>
          </cell>
          <cell r="D706">
            <v>999999</v>
          </cell>
          <cell r="E706" t="str">
            <v>006379-คุณจิตติพร-ค่าน้ำทิปโก้เลี้ยงรับรองผุ้เข้าร่วมงานมอบป้ายทอง,ค่าโบว์ติดกระเช้ามะม่วงให้คุณสุดารัตน์</v>
          </cell>
          <cell r="F706">
            <v>2039.72</v>
          </cell>
        </row>
        <row r="707">
          <cell r="C707" t="str">
            <v>00051-62400000</v>
          </cell>
          <cell r="D707">
            <v>888888</v>
          </cell>
          <cell r="E707" t="str">
            <v>006379-คุณจิตติพร-Unclaimค่าน้ำทิปโก้เลี้ยงรับรองผุ้เข้าร่วมงานมอบป้ายทอง,ค่าโบว์ติดกระเช้ามะม่วงให้คุณสุดารัตน์</v>
          </cell>
          <cell r="F707">
            <v>16.78</v>
          </cell>
        </row>
        <row r="708">
          <cell r="C708" t="str">
            <v>45110-11630060</v>
          </cell>
          <cell r="D708">
            <v>999999</v>
          </cell>
          <cell r="E708" t="str">
            <v>006379-คุณจิตติพร-054002174-สรรพสินค้าเซ็นทรัล สาขาลาดพร้าว</v>
          </cell>
          <cell r="F708">
            <v>126</v>
          </cell>
        </row>
        <row r="709">
          <cell r="C709" t="str">
            <v>00052-63050000</v>
          </cell>
          <cell r="D709">
            <v>999999</v>
          </cell>
          <cell r="E709" t="str">
            <v>006379-คุณปฏิพงษ์-ค่าจ้างติดตั้งหัวชั้น Waitrose London สาขาชิดลม</v>
          </cell>
          <cell r="F709">
            <v>400</v>
          </cell>
        </row>
        <row r="710">
          <cell r="C710" t="str">
            <v>00052-62000000</v>
          </cell>
          <cell r="D710">
            <v>999999</v>
          </cell>
          <cell r="E710" t="str">
            <v>006379-คุณปฏิพงษ์-ค่ารถไปชิดลมติดตั้งหัวชั้นสาขาชิดลม 06/05,ค่ารถไปสาขาเซียร์รังสิต ดูสถานที่จัดงานจับรางวัล,ค่ารถไปสาขาพลาซ่าลากูน ดูสถานที่จัดงานมอบรางวัล</v>
          </cell>
          <cell r="F710">
            <v>1220</v>
          </cell>
        </row>
        <row r="711">
          <cell r="C711" t="str">
            <v>00052-60215000</v>
          </cell>
          <cell r="D711">
            <v>999999</v>
          </cell>
          <cell r="E711" t="str">
            <v>006379-คุณปฏิพงษ์-ค่า PP.บอร์ด 5 แผ่น ตกแต่งเวทีจังรางวัลสาขาเซียร์รังสิต</v>
          </cell>
          <cell r="F711">
            <v>900</v>
          </cell>
        </row>
        <row r="712">
          <cell r="C712" t="str">
            <v>99999-11635104</v>
          </cell>
          <cell r="D712">
            <v>999999</v>
          </cell>
          <cell r="E712" t="str">
            <v>006380-คุณจิระภา-CLEAR ADV.P06/025</v>
          </cell>
          <cell r="F712">
            <v>274.5</v>
          </cell>
        </row>
        <row r="713">
          <cell r="C713" t="str">
            <v>00052-63050000</v>
          </cell>
          <cell r="D713">
            <v>999999</v>
          </cell>
          <cell r="E713" t="str">
            <v>006379-คุณปฏิพงษ์-ค่าจ้างจัดทำเวทีจับรางวัลสาขาเซียร์รังิสต,พลาซ่าลากูน 3 คน/2 วัน</v>
          </cell>
          <cell r="F713">
            <v>2400</v>
          </cell>
        </row>
        <row r="714">
          <cell r="C714" t="str">
            <v>00053-61705150</v>
          </cell>
          <cell r="D714">
            <v>999999</v>
          </cell>
          <cell r="E714" t="str">
            <v>006379-คุณอภิชาติ-ค่า Ink Cartridge (for refill yellow ink into printer</v>
          </cell>
          <cell r="F714">
            <v>303.74</v>
          </cell>
        </row>
        <row r="715">
          <cell r="C715" t="str">
            <v>45110-11630060</v>
          </cell>
          <cell r="D715">
            <v>999999</v>
          </cell>
          <cell r="E715" t="str">
            <v>006379-คุณอภิชาติ-RETCTL-00004696</v>
          </cell>
          <cell r="F715">
            <v>21.26</v>
          </cell>
        </row>
        <row r="716">
          <cell r="C716" t="str">
            <v>00052-62000000</v>
          </cell>
          <cell r="D716">
            <v>999999</v>
          </cell>
          <cell r="E716" t="str">
            <v>006379-คุณณัฐภัทร-ค่ารถไปดูการถ่ายทำ Scoop รายการคุยกันวันศุกร์ที่สาขานางลิ้นจี่ 07/06/05,ค่ารถไปประชุมกับ Media Agency ที่อาคารต้นสน 09/06/05</v>
          </cell>
          <cell r="F716">
            <v>618</v>
          </cell>
        </row>
        <row r="717">
          <cell r="C717" t="str">
            <v>00051-62000000</v>
          </cell>
          <cell r="D717">
            <v>999999</v>
          </cell>
          <cell r="E717" t="str">
            <v>006379-คุณพรจันทร์-ค่ารถไปกลับสาขาชิดลม ประชุมเรื่อง Social ,ค่ารถไปกลับรังสิตจัดกระเข้าให้คุณหญิงสุดารัตน์,ค่ารถไปกลับพลาซ่าลากูน งานมอบป้ายทอง Food Safety ,ค่ารถไปกลับกระทรวงเกษตร ส่งกระเช้า</v>
          </cell>
          <cell r="F717">
            <v>1130</v>
          </cell>
        </row>
        <row r="718">
          <cell r="C718" t="str">
            <v>00052-60205150</v>
          </cell>
          <cell r="D718">
            <v>999999</v>
          </cell>
          <cell r="E718" t="str">
            <v>006379-คุณสุวรรณี-ค่าจ้างแทรกแผ่นพับ TOPS MAIL 23/24 ที่พัทยา</v>
          </cell>
          <cell r="F718">
            <v>1500</v>
          </cell>
        </row>
        <row r="719">
          <cell r="C719" t="str">
            <v>45990-21915201</v>
          </cell>
          <cell r="D719">
            <v>999999</v>
          </cell>
          <cell r="E719" t="str">
            <v>006379-คุณสุวรรณี-055/0365-นายกวี  ราษฏร์นิยม</v>
          </cell>
          <cell r="F719">
            <v>-45</v>
          </cell>
        </row>
        <row r="720">
          <cell r="C720" t="str">
            <v>00016-62000000</v>
          </cell>
          <cell r="D720">
            <v>999999</v>
          </cell>
          <cell r="E720" t="str">
            <v>006381-คุณนงลักษณ์-ค่ารถไปคาร์ฟูร์ลาดพร้าว 20/06/05</v>
          </cell>
          <cell r="F720">
            <v>200</v>
          </cell>
        </row>
        <row r="721">
          <cell r="C721" t="str">
            <v>00016-61100000</v>
          </cell>
          <cell r="D721">
            <v>999999</v>
          </cell>
          <cell r="E721" t="str">
            <v>006381-คุณนงลักษณ์-ค่าค็อกเทลหมู ตราบุชเช่อร์ช้อยส์ นำมาประกอบการกออกแบบไส้กรอกตราท็อปส์</v>
          </cell>
          <cell r="F721">
            <v>229.91</v>
          </cell>
        </row>
        <row r="722">
          <cell r="C722" t="str">
            <v>45110-11630060</v>
          </cell>
          <cell r="D722">
            <v>999999</v>
          </cell>
          <cell r="E722" t="str">
            <v>006381-คุณนงลักษณ์-48073376-คาร์ฟรู</v>
          </cell>
          <cell r="F722">
            <v>12.36</v>
          </cell>
        </row>
        <row r="723">
          <cell r="C723" t="str">
            <v>45110-11630060</v>
          </cell>
          <cell r="D723">
            <v>999999</v>
          </cell>
          <cell r="E723" t="str">
            <v>006381-คุณนงลักษณ์-00008877-ฟู้ดแลนด์</v>
          </cell>
          <cell r="F723">
            <v>3.73</v>
          </cell>
        </row>
        <row r="724">
          <cell r="C724" t="str">
            <v>00052-60205270</v>
          </cell>
          <cell r="D724">
            <v>999999</v>
          </cell>
          <cell r="E724" t="str">
            <v>006379-คุณสุวรรณี-ค่าหนังสือ Maire Claire Food Fas</v>
          </cell>
          <cell r="F724">
            <v>2020</v>
          </cell>
        </row>
        <row r="725">
          <cell r="C725" t="str">
            <v>00052-62000000</v>
          </cell>
          <cell r="D725">
            <v>999999</v>
          </cell>
          <cell r="E725" t="str">
            <v>006379-คุณฐิตพล-ค่ารถไปประสานงานเรื่องเมนูลำไย ที่เกษตร 13/06/05,ค่ารถไปติดต่สถาบันเพื่อจัดเตรียมเมนูลำไย 14/06/05,ค่ารถไปช่วยงานพิธีมอบป้าย Food Safety และติดต่อสถาบันดุสิตการโรงแรม 15/06,ค่ารถไปเตรียม Event พิเศษ ที่ MKP ชิดลม</v>
          </cell>
          <cell r="F725">
            <v>2027</v>
          </cell>
        </row>
        <row r="726">
          <cell r="C726" t="str">
            <v>00051-62000000</v>
          </cell>
          <cell r="D726">
            <v>999999</v>
          </cell>
          <cell r="E726" t="str">
            <v>006379-คุณชนิดา-ค่ารถไปกลับลาดพร้าว-พลาซ่าลากูน พิธีงานมอบป้ายทอง 15/06/05,ค่ารถไปกลับจตุจักร เพื่อดูกระเช้าใช้ในงาน Taste of Astralea</v>
          </cell>
          <cell r="F726">
            <v>367</v>
          </cell>
        </row>
        <row r="727">
          <cell r="C727" t="str">
            <v>00051-62600000</v>
          </cell>
          <cell r="D727">
            <v>999999</v>
          </cell>
          <cell r="E727" t="str">
            <v>006379-คุณพรจันทร์-ค่าของ Walitrose ส่งให้ท่านฑูต ผู้ช่วย และฑูตพาณิชย์ ประเทศอังกฤษ</v>
          </cell>
          <cell r="F727">
            <v>1355.11</v>
          </cell>
        </row>
        <row r="728">
          <cell r="C728" t="str">
            <v>00051-62600000</v>
          </cell>
          <cell r="D728">
            <v>888888</v>
          </cell>
          <cell r="E728" t="str">
            <v>006379-คุณพรจันทร์-Unclaimค่าของ Walitrose ส่งให้ท่านฑูต ผู้ช่วย และฑูตพาณิชย์ ประเทศอังกฤษ</v>
          </cell>
          <cell r="F728">
            <v>94.89</v>
          </cell>
        </row>
        <row r="729">
          <cell r="C729" t="str">
            <v>00053-62000000</v>
          </cell>
          <cell r="D729">
            <v>999999</v>
          </cell>
          <cell r="E729" t="str">
            <v>006379-คุณพีชนิกา-ค่ารถไปรับชองที่สาขาลิดลม 20/06/05</v>
          </cell>
          <cell r="F729">
            <v>336</v>
          </cell>
        </row>
        <row r="730">
          <cell r="C730" t="str">
            <v>00052-61420000</v>
          </cell>
          <cell r="D730">
            <v>999999</v>
          </cell>
          <cell r="E730" t="str">
            <v>006379-คุณศิริวัฒน์-ค่าส่งจดหมายให้ลูกค้ารายการบัตรของขวัญเติมผันนักช้อป์</v>
          </cell>
          <cell r="F730">
            <v>167.95</v>
          </cell>
        </row>
        <row r="731">
          <cell r="C731" t="str">
            <v>45110-11630060</v>
          </cell>
          <cell r="D731">
            <v>999999</v>
          </cell>
          <cell r="E731" t="str">
            <v>006379-184/9195-โพลท์เน็ท</v>
          </cell>
          <cell r="F731">
            <v>1.05</v>
          </cell>
        </row>
        <row r="732">
          <cell r="C732" t="str">
            <v>00004-62000000</v>
          </cell>
          <cell r="D732">
            <v>999999</v>
          </cell>
          <cell r="E732" t="str">
            <v>006382-คุณปิ่นสุดารักษ์-ค่ารถไปเซอร์เวย์ โครงสร้าง SP,TL 22/06/05</v>
          </cell>
          <cell r="F732">
            <v>470</v>
          </cell>
        </row>
        <row r="733">
          <cell r="C733" t="str">
            <v>00004-60900000</v>
          </cell>
          <cell r="D733">
            <v>999999</v>
          </cell>
          <cell r="E733" t="str">
            <v>006382-คุณปิ่นสุดารักษ์-ค่าถ่านอ๊อกซีไรด์</v>
          </cell>
          <cell r="F733">
            <v>60.28</v>
          </cell>
        </row>
        <row r="734">
          <cell r="C734" t="str">
            <v>00004-60900000</v>
          </cell>
          <cell r="D734">
            <v>999999</v>
          </cell>
          <cell r="E734" t="str">
            <v>006382-คุณปิ่นสุดารักษ์-ค่าถ่านอ๊อกซีไรด์</v>
          </cell>
          <cell r="F734">
            <v>4.22</v>
          </cell>
        </row>
        <row r="735">
          <cell r="C735" t="str">
            <v>00024-62000000</v>
          </cell>
          <cell r="D735">
            <v>999999</v>
          </cell>
          <cell r="E735" t="str">
            <v>006383-คุณพรทิพย์-ค่ารถแท็กซี่ไปเดอะมอลล์ท่าพระ ไปติดต่อร้านค้าใหม่</v>
          </cell>
          <cell r="F735">
            <v>300</v>
          </cell>
        </row>
        <row r="736">
          <cell r="C736" t="str">
            <v>00051-62000000</v>
          </cell>
          <cell r="D736">
            <v>999999</v>
          </cell>
          <cell r="E736" t="str">
            <v>006379-คุณจิตติพร-ค่ารถไปกลับลาดพร้าว-พลาซ่าลากูน งานมอบป้ายทองอาหารปลอดภัย 15/06/05,ค่ารถไปกลับปากเกร็ด  19,20/06/05</v>
          </cell>
          <cell r="F736">
            <v>480</v>
          </cell>
        </row>
        <row r="737">
          <cell r="C737" t="str">
            <v>00051-61805050</v>
          </cell>
          <cell r="D737">
            <v>999999</v>
          </cell>
          <cell r="E737" t="str">
            <v>006379-คุณจิตติพร-ค่าเบี้ยเลี้ยงไปดูงานจังหวัดพังงา,สุราษฏร์ 18,19/06/05</v>
          </cell>
          <cell r="F737">
            <v>320</v>
          </cell>
        </row>
        <row r="738">
          <cell r="C738" t="str">
            <v>00051-62000000</v>
          </cell>
          <cell r="D738">
            <v>999999</v>
          </cell>
          <cell r="E738" t="str">
            <v>006379-คุณชนิดา-ค่ารถไปกลับกระทรวงเกษตรและสหกรณ์ เพื่อไปส่งกระเช้าให้กับคุณสุดารัตน์ 17/06/05,ค่ารถไปกลับสถานฑูตอังกฤษ 21/06/05</v>
          </cell>
          <cell r="F738">
            <v>594</v>
          </cell>
        </row>
        <row r="739">
          <cell r="C739" t="str">
            <v>00095-60141550</v>
          </cell>
          <cell r="D739">
            <v>999999</v>
          </cell>
          <cell r="E739" t="str">
            <v>006384-คุณทรงพล-ค่าสวัสดิการของเยี่ยมไช้พนักงาน</v>
          </cell>
          <cell r="F739">
            <v>365.26</v>
          </cell>
        </row>
        <row r="740">
          <cell r="C740" t="str">
            <v>00095-60141550</v>
          </cell>
          <cell r="D740">
            <v>999999</v>
          </cell>
          <cell r="E740" t="str">
            <v>006384-คุณทรงพล-ค่าสวัสดิการของเยี่ยมไช้พนักงาน</v>
          </cell>
          <cell r="F740">
            <v>18.989999999999998</v>
          </cell>
        </row>
        <row r="741">
          <cell r="C741" t="str">
            <v>00017-62000000</v>
          </cell>
          <cell r="D741">
            <v>999999</v>
          </cell>
          <cell r="E741" t="str">
            <v>006385-คุณชัชฏาพร-ค่ารถไปกลับสาขาปิ่นเกล้า 09/06/05,ค่ารถไปกลับสีลมคอม 14/06/05,ค่ารถไปกลับสาขาบางรัก 17/06/05 ตรวจสาขาในเรื่องของการจัดเรียงสินค้าและการส่งสินค้าของสาขา</v>
          </cell>
          <cell r="F741">
            <v>670</v>
          </cell>
        </row>
        <row r="742">
          <cell r="C742" t="str">
            <v>00025-61805050</v>
          </cell>
          <cell r="D742">
            <v>999999</v>
          </cell>
          <cell r="E742" t="str">
            <v>006386-คุณพิชัย-ค่าเบี้ยเลี้ยงช่วยงานสาขาต่างจังหวัด ศรีราชา,ศรีราชาแหลมทอง,บางแสน วันที่ 30-31/05/05,01/06/05</v>
          </cell>
          <cell r="F742">
            <v>360</v>
          </cell>
        </row>
        <row r="743">
          <cell r="C743" t="str">
            <v>00025-61705150</v>
          </cell>
          <cell r="D743">
            <v>999999</v>
          </cell>
          <cell r="E743" t="str">
            <v>006387-คุณศิริศักดิ์-ค่า Scan เอกสารลง Diskette</v>
          </cell>
          <cell r="F743">
            <v>120</v>
          </cell>
        </row>
        <row r="744">
          <cell r="C744" t="str">
            <v>00025-62000000</v>
          </cell>
          <cell r="D744">
            <v>999999</v>
          </cell>
          <cell r="E744" t="str">
            <v>006388-คุณประมุข-ค่ารถไปสาขาสุขุมวิท 19,สุขาภิบาล 3, ไปสอบเรื่องลูกค้าร้องเรียน LP 20/06/05</v>
          </cell>
          <cell r="F744">
            <v>300</v>
          </cell>
        </row>
        <row r="745">
          <cell r="C745" t="str">
            <v>00025-61805050</v>
          </cell>
          <cell r="D745">
            <v>999999</v>
          </cell>
          <cell r="E745" t="str">
            <v>006388-คุณประมุข-ค่าเบี้ยเลี้ยงไปตรวจสาขาและตรวจสอบเรื่องลูกค้าที่สาขาศรีราชา 20/06</v>
          </cell>
          <cell r="F745">
            <v>160</v>
          </cell>
        </row>
        <row r="746">
          <cell r="C746" t="str">
            <v>00011-61705150</v>
          </cell>
          <cell r="D746">
            <v>999999</v>
          </cell>
          <cell r="E746" t="str">
            <v>006389-คุณนงเยาว์-ค่าแฟ้มใสแบบ 3 ช่อง</v>
          </cell>
          <cell r="F746">
            <v>47.9</v>
          </cell>
        </row>
        <row r="747">
          <cell r="C747" t="str">
            <v>45110-11630060</v>
          </cell>
          <cell r="D747">
            <v>999999</v>
          </cell>
          <cell r="E747" t="str">
            <v>006389-คุณนงเยาว์-8170281-บีทูเอส</v>
          </cell>
          <cell r="F747">
            <v>3.35</v>
          </cell>
        </row>
        <row r="748">
          <cell r="C748" t="str">
            <v>26990-61705150</v>
          </cell>
          <cell r="D748">
            <v>999999</v>
          </cell>
          <cell r="E748" t="str">
            <v>006390-คุณกมลวรรณ-ค่าป้ายชื่อผู้จัดการสาขา  สาชาแพรกษา</v>
          </cell>
          <cell r="F748">
            <v>150</v>
          </cell>
        </row>
        <row r="749">
          <cell r="C749" t="str">
            <v>00044-11630251</v>
          </cell>
          <cell r="D749" t="str">
            <v>040123</v>
          </cell>
          <cell r="E749" t="str">
            <v>006390-คุณกมลวรรณ-ค่าป้ายชื่อผู้จัดการสาขา  สาชาแพรกษา</v>
          </cell>
          <cell r="F749">
            <v>-150</v>
          </cell>
        </row>
        <row r="750">
          <cell r="C750" t="str">
            <v>00044-11630251</v>
          </cell>
          <cell r="D750" t="str">
            <v>040123</v>
          </cell>
          <cell r="E750" t="str">
            <v>006390-คุณกมลวรรณ-ค่าป้ายชื่อผู้จัดการสาขา  สาชาแพรกษา</v>
          </cell>
          <cell r="F750">
            <v>150</v>
          </cell>
        </row>
        <row r="751">
          <cell r="C751" t="str">
            <v>26990-61705150</v>
          </cell>
          <cell r="D751">
            <v>999999</v>
          </cell>
          <cell r="E751" t="str">
            <v>006390-คุณกมลวรรณ-ค่าป้ายชื่อผู้จัดการสาขา  สาชาสีลม</v>
          </cell>
          <cell r="F751">
            <v>150</v>
          </cell>
        </row>
        <row r="752">
          <cell r="C752" t="str">
            <v>00044-11630251</v>
          </cell>
          <cell r="D752" t="str">
            <v>040123</v>
          </cell>
          <cell r="E752" t="str">
            <v>006390-คุณกมลวรรณ-ค่าป้ายชื่อผู้จัดการสาขา  สาชาสีลม</v>
          </cell>
          <cell r="F752">
            <v>-150</v>
          </cell>
        </row>
        <row r="753">
          <cell r="C753" t="str">
            <v>00044-11630251</v>
          </cell>
          <cell r="D753" t="str">
            <v>040123</v>
          </cell>
          <cell r="E753" t="str">
            <v>006390-คุณกมลวรรณ-ค่าป้ายชื่อผู้จัดการสาขา  สาชาสีลม</v>
          </cell>
          <cell r="F753">
            <v>150</v>
          </cell>
        </row>
        <row r="754">
          <cell r="C754" t="str">
            <v>26990-61705150</v>
          </cell>
          <cell r="D754">
            <v>999999</v>
          </cell>
          <cell r="E754" t="str">
            <v>006390-คุณกมลวรรณ-ค่าป้ายชื่อผู้จัดการสาขา  สาชาสุขุมวิท 24</v>
          </cell>
          <cell r="F754">
            <v>150</v>
          </cell>
        </row>
        <row r="755">
          <cell r="C755" t="str">
            <v>00044-11630251</v>
          </cell>
          <cell r="D755" t="str">
            <v>040123</v>
          </cell>
          <cell r="E755" t="str">
            <v>006390-คุณกมลวรรณ-ค่าป้ายชื่อผู้จัดการสาขา  สาชาสุขุมวิท 24</v>
          </cell>
          <cell r="F755">
            <v>-150</v>
          </cell>
        </row>
        <row r="756">
          <cell r="C756" t="str">
            <v>00044-11630251</v>
          </cell>
          <cell r="D756" t="str">
            <v>040123</v>
          </cell>
          <cell r="E756" t="str">
            <v>006390-คุณกมลวรรณ-ค่าป้ายชื่อผู้จัดการสาขา  สาชาสุขุมวิท 24</v>
          </cell>
          <cell r="F756">
            <v>150</v>
          </cell>
        </row>
        <row r="757">
          <cell r="C757" t="str">
            <v>26990-61705150</v>
          </cell>
          <cell r="D757">
            <v>999999</v>
          </cell>
          <cell r="E757" t="str">
            <v>006390-คุณกมลวรรณ-ค่าป้ายชื่อผู้จัดการสาขา  สาชาสมุย</v>
          </cell>
          <cell r="F757">
            <v>150</v>
          </cell>
        </row>
        <row r="758">
          <cell r="C758" t="str">
            <v>00044-11630251</v>
          </cell>
          <cell r="D758" t="str">
            <v>040123</v>
          </cell>
          <cell r="E758" t="str">
            <v>006390-คุณกมลวรรณ-ค่าป้ายชื่อผู้จัดการสาขา  สาชาสมุย</v>
          </cell>
          <cell r="F758">
            <v>-150</v>
          </cell>
        </row>
        <row r="759">
          <cell r="C759" t="str">
            <v>00044-11630251</v>
          </cell>
          <cell r="D759" t="str">
            <v>040123</v>
          </cell>
          <cell r="E759" t="str">
            <v>006390-คุณกมลวรรณ-ค่าป้ายชื่อผู้จัดการสาขา  สาชาสมุย</v>
          </cell>
          <cell r="F759">
            <v>150</v>
          </cell>
        </row>
        <row r="760">
          <cell r="C760" t="str">
            <v>45110-11630060</v>
          </cell>
          <cell r="D760">
            <v>999999</v>
          </cell>
          <cell r="E760" t="str">
            <v>006390-คุณกมลวรรณ-IV0009257-ศิลป์ผ้าอุตสาหกรรมพลาสติก</v>
          </cell>
          <cell r="F760">
            <v>42</v>
          </cell>
        </row>
        <row r="761">
          <cell r="C761" t="str">
            <v>99999-11630251</v>
          </cell>
          <cell r="D761" t="str">
            <v>040123</v>
          </cell>
          <cell r="E761" t="str">
            <v>22/6/2005-#5720</v>
          </cell>
          <cell r="F761">
            <v>46839.000000000007</v>
          </cell>
        </row>
        <row r="764">
          <cell r="C764" t="str">
            <v>00004-62000000</v>
          </cell>
          <cell r="D764">
            <v>999999</v>
          </cell>
          <cell r="E764" t="str">
            <v>006391-คุณChositar-ค่ารถไปอบรมที่FDC+ทางด่วนผ2 วัน</v>
          </cell>
          <cell r="F764">
            <v>1080</v>
          </cell>
        </row>
        <row r="765">
          <cell r="C765" t="str">
            <v>00004-60141250</v>
          </cell>
          <cell r="D765">
            <v>999999</v>
          </cell>
          <cell r="E765" t="str">
            <v>006392-คุณอมรรัตนน์ ปวดหลัง</v>
          </cell>
          <cell r="F765">
            <v>755</v>
          </cell>
        </row>
        <row r="766">
          <cell r="C766" t="str">
            <v>00004-60141250</v>
          </cell>
          <cell r="D766">
            <v>999999</v>
          </cell>
          <cell r="E766" t="str">
            <v>006393-คุณอมรรัตน์ แผลที่มือ</v>
          </cell>
          <cell r="F766">
            <v>1738</v>
          </cell>
        </row>
        <row r="767">
          <cell r="C767" t="str">
            <v>00011-62000000</v>
          </cell>
          <cell r="D767">
            <v>999999</v>
          </cell>
          <cell r="E767" t="str">
            <v>006394-คุณสุรีย์พร-ค่ารถแท็กซี่จากท็อปส์สมุยไปโลตัส และสนามบิน</v>
          </cell>
          <cell r="F767">
            <v>500</v>
          </cell>
        </row>
        <row r="768">
          <cell r="C768" t="str">
            <v>00011-60141250</v>
          </cell>
          <cell r="D768">
            <v>999999</v>
          </cell>
          <cell r="E768" t="str">
            <v>006395-คุณจิรนันท์-ค่ารักษาพยาบาล รพ.วิชัยยุทธ วันที่ 30/05/05</v>
          </cell>
          <cell r="F768">
            <v>888</v>
          </cell>
        </row>
        <row r="769">
          <cell r="C769" t="str">
            <v>00071-62000000</v>
          </cell>
          <cell r="D769">
            <v>999999</v>
          </cell>
          <cell r="E769" t="str">
            <v>006396-คุณแผน-ค่ารถไปตรวจโทรศัพท์ ที่ลาดพร้าว มาบุญครอง นางลิ้นจี่ บางรัก</v>
          </cell>
          <cell r="F769">
            <v>1000</v>
          </cell>
        </row>
        <row r="770">
          <cell r="C770" t="str">
            <v>00027-60141250</v>
          </cell>
          <cell r="D770">
            <v>999999</v>
          </cell>
          <cell r="E770" t="str">
            <v>006397-คุณสุพัตรา-ค่ารักษาพยาบาล รพ.เซ็นต์คาร์ลอส วันที่ 20/06/05</v>
          </cell>
          <cell r="F770">
            <v>822</v>
          </cell>
        </row>
        <row r="771">
          <cell r="C771" t="str">
            <v>00003-62000000</v>
          </cell>
          <cell r="D771">
            <v>999999</v>
          </cell>
          <cell r="E771" t="str">
            <v>006398-คุณรังศรี-ค่ารถจากสุธิสารไป สำนักงานใหญ่ สีลม สีลมคอมเพล็กซ์ 16-18/05/06</v>
          </cell>
          <cell r="F771">
            <v>593</v>
          </cell>
        </row>
        <row r="772">
          <cell r="C772" t="str">
            <v>00003-62000000</v>
          </cell>
          <cell r="D772">
            <v>999999</v>
          </cell>
          <cell r="E772" t="str">
            <v>006399-คุณปัญญา-ค่ารถจากสุขาภิบาล ไปสำนักงานใหญ่ ไปสาขาสีลม PS สีลม บางนา  16-18/05/05</v>
          </cell>
          <cell r="F772">
            <v>847</v>
          </cell>
        </row>
        <row r="773">
          <cell r="C773" t="str">
            <v>00017-61100000</v>
          </cell>
          <cell r="D773">
            <v>999999</v>
          </cell>
          <cell r="E773" t="str">
            <v>006400-คุณวัฒนา-ค่าสินค้าตัวอย่างเพื่อทดลองยอดสูญเสีย</v>
          </cell>
          <cell r="F773">
            <v>1330</v>
          </cell>
        </row>
        <row r="774">
          <cell r="C774" t="str">
            <v>00071-62000000</v>
          </cell>
          <cell r="D774">
            <v>999999</v>
          </cell>
          <cell r="E774" t="str">
            <v>006402-คุณวิราณี-ค่ารถจากสนักงานใหญ่ปสาขาเกษตรไปประชุมช่างวันที่21/6/48</v>
          </cell>
          <cell r="F774">
            <v>65</v>
          </cell>
        </row>
        <row r="775">
          <cell r="C775" t="str">
            <v>00017-62000000</v>
          </cell>
          <cell r="D775">
            <v>999999</v>
          </cell>
          <cell r="E775" t="str">
            <v>006403-คุณสายฝน-ค่ารถจากHOปสาขารังสิต,รามอินทรา,บางนาและจากรร.MAXX}และไปสาขาทองหล่อเพื่อสรำรวจคู่แข่งและทำSpecสินค้า</v>
          </cell>
          <cell r="F775">
            <v>824</v>
          </cell>
        </row>
        <row r="776">
          <cell r="C776" t="str">
            <v>00017-62600000</v>
          </cell>
          <cell r="D776">
            <v>999999</v>
          </cell>
          <cell r="E776" t="str">
            <v>006403-คุณสายฝน-ค่าวัตถุดิบอุปกรณืสำหรับอบรม Australian meat วันที่16/6/48</v>
          </cell>
          <cell r="F776">
            <v>147.54</v>
          </cell>
        </row>
        <row r="777">
          <cell r="C777" t="str">
            <v>00017-62600000</v>
          </cell>
          <cell r="D777">
            <v>888888</v>
          </cell>
          <cell r="E777" t="str">
            <v>006403-คุณสายฝน-Ulcam Vat ค่าอุปกรณือบรม</v>
          </cell>
          <cell r="F777">
            <v>9.2100000000000009</v>
          </cell>
        </row>
        <row r="778">
          <cell r="C778" t="str">
            <v>00043-60141250</v>
          </cell>
          <cell r="D778">
            <v>999999</v>
          </cell>
          <cell r="E778" t="str">
            <v>006404-คุณนฤมล-ค่ารักษาพยาบาล รพ.เมโยวันที่21/6/48</v>
          </cell>
          <cell r="F778">
            <v>774</v>
          </cell>
        </row>
        <row r="779">
          <cell r="C779" t="str">
            <v>00015-60900000</v>
          </cell>
          <cell r="D779">
            <v>999999</v>
          </cell>
          <cell r="E779" t="str">
            <v>006405-คุณนฤมล-ค่าล้างอักรูปงานอาหารสด</v>
          </cell>
          <cell r="F779">
            <v>593.91999999999996</v>
          </cell>
        </row>
        <row r="780">
          <cell r="C780" t="str">
            <v>45110-11630060</v>
          </cell>
          <cell r="D780">
            <v>999999</v>
          </cell>
          <cell r="E780" t="str">
            <v>006405-S.vat070851,070888</v>
          </cell>
          <cell r="F780">
            <v>41.58</v>
          </cell>
        </row>
        <row r="781">
          <cell r="C781" t="str">
            <v>00015-61705150</v>
          </cell>
          <cell r="D781">
            <v>999999</v>
          </cell>
          <cell r="E781" t="str">
            <v>006406-คุณนฤมล-ค่าถ่ายเอกสารเป็นคู่มืออบรม SK</v>
          </cell>
          <cell r="F781">
            <v>663</v>
          </cell>
        </row>
        <row r="782">
          <cell r="C782" t="str">
            <v>00015-60900000</v>
          </cell>
          <cell r="D782">
            <v>888888</v>
          </cell>
          <cell r="E782" t="str">
            <v>006406-Unclam Vat ค่าถ่ายเอกสารและค่าถ่าน</v>
          </cell>
          <cell r="F782">
            <v>7</v>
          </cell>
        </row>
        <row r="783">
          <cell r="C783" t="str">
            <v>45110-11630060</v>
          </cell>
          <cell r="D783">
            <v>999999</v>
          </cell>
          <cell r="E783" t="str">
            <v>006406-S.Vatค่าถ่ายเอกสารบจก.โพสท์เน็ท(ไทยแลนด์)183/9111</v>
          </cell>
          <cell r="F783">
            <v>1.5</v>
          </cell>
        </row>
        <row r="784">
          <cell r="C784" t="str">
            <v>00015-61705150</v>
          </cell>
          <cell r="D784">
            <v>999999</v>
          </cell>
          <cell r="E784" t="str">
            <v>006407-คุณนฤมล-ค่าอุปกรณืเครื่องเขียน</v>
          </cell>
          <cell r="F784">
            <v>202.34</v>
          </cell>
        </row>
        <row r="785">
          <cell r="C785" t="str">
            <v>45110-11630060</v>
          </cell>
          <cell r="D785">
            <v>999999</v>
          </cell>
          <cell r="E785" t="str">
            <v>006407-S.vatบจก.บีทูเอส#8170572ค่าอุปกรณืเครื่องเขียน</v>
          </cell>
          <cell r="F785">
            <v>14.16</v>
          </cell>
        </row>
        <row r="786">
          <cell r="C786" t="str">
            <v>00015-61100000</v>
          </cell>
          <cell r="D786">
            <v>999999</v>
          </cell>
          <cell r="E786" t="str">
            <v>006407-คุณนฤมล-ค่าซื้อสินค้าตัวอย่างอาหาร</v>
          </cell>
          <cell r="F786">
            <v>679</v>
          </cell>
        </row>
        <row r="787">
          <cell r="C787" t="str">
            <v>45110-11630060</v>
          </cell>
          <cell r="D787">
            <v>999999</v>
          </cell>
          <cell r="E787" t="str">
            <v>006407-S.vat#0018/5326 = 3.27,P376001682 = 24.73</v>
          </cell>
          <cell r="F787">
            <v>28</v>
          </cell>
        </row>
        <row r="788">
          <cell r="C788" t="str">
            <v>00062-63050000</v>
          </cell>
          <cell r="D788">
            <v>999999</v>
          </cell>
          <cell r="E788" t="str">
            <v>006408-คุณรจนา-ค่าธรรมเนียมในการโอนเงินให้พนักงานสาขาจันทบุรี</v>
          </cell>
          <cell r="F788">
            <v>30</v>
          </cell>
        </row>
        <row r="789">
          <cell r="C789" t="str">
            <v>00003-62000000</v>
          </cell>
          <cell r="D789">
            <v>999999</v>
          </cell>
          <cell r="E789" t="str">
            <v>006409-คุณอลงกรณ์-ค่ารถไปสาขาประชาสงเคราะห์-ชิดลม-(ซ้อมหนีไฟ)และจากค่ารถจกาHO-Cwเพื่อนจุลืนทรีย์มาวิเดราะห์</v>
          </cell>
          <cell r="F789">
            <v>450</v>
          </cell>
        </row>
        <row r="790">
          <cell r="C790" t="str">
            <v>00071-63050000</v>
          </cell>
          <cell r="D790">
            <v>888888</v>
          </cell>
          <cell r="E790" t="str">
            <v>006401-คุณผุสดี-Unclaimค่าอาหารและเครื่องดื่มประชุมช่างที่สาขาเกษตรวันที่21/6/48</v>
          </cell>
          <cell r="F790">
            <v>30.88</v>
          </cell>
        </row>
        <row r="791">
          <cell r="C791" t="str">
            <v>00071-63050000</v>
          </cell>
          <cell r="D791">
            <v>999999</v>
          </cell>
          <cell r="E791" t="str">
            <v>006401-คุณผุสดี-ค่าอาหารและเครื่องดื่มประชุมช่างที่สาขาเกษตรวันที่21/6/48</v>
          </cell>
          <cell r="F791">
            <v>1377.12</v>
          </cell>
        </row>
        <row r="792">
          <cell r="C792" t="str">
            <v>00015-60900000</v>
          </cell>
          <cell r="D792">
            <v>999999</v>
          </cell>
          <cell r="E792" t="str">
            <v>006406-คุณนฤมล-ค่าล้างอัดรูป ,ค่าถ่าน</v>
          </cell>
          <cell r="F792">
            <v>183.5</v>
          </cell>
        </row>
        <row r="793">
          <cell r="C793" t="str">
            <v>99999-11630251</v>
          </cell>
          <cell r="D793" t="str">
            <v>040123</v>
          </cell>
          <cell r="E793" t="str">
            <v>23/6/2005-#5750</v>
          </cell>
          <cell r="F793">
            <v>15674.75</v>
          </cell>
        </row>
        <row r="796">
          <cell r="C796" t="str">
            <v>00007-60141250</v>
          </cell>
          <cell r="D796">
            <v>999999</v>
          </cell>
          <cell r="E796" t="str">
            <v>006410-คุณนันทวัน-ค่ารักษาพยาบาล รพ.ศิครินทร์ วันที่ 22-06-48</v>
          </cell>
          <cell r="F796">
            <v>2102</v>
          </cell>
        </row>
        <row r="797">
          <cell r="C797" t="str">
            <v>00042-60141250</v>
          </cell>
          <cell r="D797">
            <v>999999</v>
          </cell>
          <cell r="E797" t="str">
            <v>006411-คุณเมธินี-ค่ารักษาพยาบาล ไทธลอด์เป็นพิษ รพ.ศิริราช</v>
          </cell>
          <cell r="F797">
            <v>6260</v>
          </cell>
        </row>
        <row r="798">
          <cell r="C798" t="str">
            <v>81200-62000000</v>
          </cell>
          <cell r="D798">
            <v>999999</v>
          </cell>
          <cell r="E798" t="str">
            <v>006412-คุณนิกร-ค่ารถไป-กลับจากสำนักงานใหญ่ไปประชุมที่เอสโช่ วันที่ 15/06/48 และไปประชุมที่คอนอโค วันที่ 17/06/48 สาขาดีซี</v>
          </cell>
          <cell r="F798">
            <v>480</v>
          </cell>
        </row>
        <row r="799">
          <cell r="C799" t="str">
            <v>00052-62000000</v>
          </cell>
          <cell r="D799">
            <v>999999</v>
          </cell>
          <cell r="E799" t="str">
            <v>006413-คุณอนันต์-ค่ารถจากลาดพร้าว 15 มาสนญ. ไปถ่ายรูปสวนลองกอง 19,20/06/05,ค่ารถจากสนญ.-ไปโชคชัยร่วมมิตร ไปถ่ายรูปเมนูลำไย 21/06/05</v>
          </cell>
          <cell r="F799">
            <v>205</v>
          </cell>
        </row>
        <row r="800">
          <cell r="C800" t="str">
            <v>00052-61805050</v>
          </cell>
          <cell r="D800">
            <v>999999</v>
          </cell>
          <cell r="E800" t="str">
            <v>006413-คุณอนันต์-ค่าเบี้ยเลี้ยงไปถ่ายรุปสวนลองกองพังงานและสวนเงาะนาสาน ที่สุราษฏานี 19,20/06/05</v>
          </cell>
          <cell r="F800">
            <v>320</v>
          </cell>
        </row>
        <row r="801">
          <cell r="C801" t="str">
            <v>00094-60141250</v>
          </cell>
          <cell r="D801">
            <v>999999</v>
          </cell>
          <cell r="E801" t="str">
            <v>006414-คุณเชษฐพงศ์-ค่ารักษาพยาบาล รพ.รามคำแหง วันที่ 20/06/05</v>
          </cell>
          <cell r="F801">
            <v>502</v>
          </cell>
        </row>
        <row r="802">
          <cell r="C802" t="str">
            <v>00094-60141250</v>
          </cell>
          <cell r="D802">
            <v>999999</v>
          </cell>
          <cell r="E802" t="str">
            <v>006415-คุณเชษฐพงศ์-ค่ารักษาพยาบาล รพ.รามคำแหง วันที่ 13/06/05</v>
          </cell>
          <cell r="F802">
            <v>1054</v>
          </cell>
        </row>
        <row r="803">
          <cell r="C803" t="str">
            <v>99999-11635104</v>
          </cell>
          <cell r="D803">
            <v>999999</v>
          </cell>
          <cell r="E803" t="str">
            <v>006416-คุณสุมามาลย์- ADV.P06/034</v>
          </cell>
          <cell r="F803">
            <v>3000</v>
          </cell>
        </row>
        <row r="804">
          <cell r="C804" t="str">
            <v>00063-60144120</v>
          </cell>
          <cell r="D804">
            <v>999999</v>
          </cell>
          <cell r="E804" t="str">
            <v>006417-คุณอรวรรณ-ค่าอบรมหลักสูตร"บทบาทในการให้คำปรึกษา"สำหรับ K.นุชนาฏ นิมิตรบรรณสาร 15/06/05</v>
          </cell>
          <cell r="F804">
            <v>3600</v>
          </cell>
        </row>
        <row r="805">
          <cell r="C805" t="str">
            <v>45110-11630060</v>
          </cell>
          <cell r="D805">
            <v>999999</v>
          </cell>
          <cell r="E805" t="str">
            <v>006417-003113-สมาคมการจัดการธุรกิจแห่งประเทศไทย</v>
          </cell>
          <cell r="F805">
            <v>252</v>
          </cell>
        </row>
        <row r="806">
          <cell r="C806" t="str">
            <v>00054-62000000</v>
          </cell>
          <cell r="D806">
            <v>999999</v>
          </cell>
          <cell r="E806" t="str">
            <v>006418-คุณปานัดดา-ค่ารถไปสำรวจราคาอาหารสดของคู่แข่ง วันที่ 24/06/05 ที่คาร์ฟูร์ ลาดพร้าว,ฟู้ดแลนด์,เดอะมอลล์ บางกะปิ,โลตัสรัตนาธิเบศร์</v>
          </cell>
          <cell r="F806">
            <v>505</v>
          </cell>
        </row>
        <row r="807">
          <cell r="C807" t="str">
            <v>93100-62000000</v>
          </cell>
          <cell r="D807">
            <v>999999</v>
          </cell>
          <cell r="E807" t="str">
            <v>006419-คุณภูริพันธ์ -ค่ารถไป-กลับ จากสำนักงานใหญ่ไป ดีซี่ ของสาขา DC</v>
          </cell>
          <cell r="F807">
            <v>720</v>
          </cell>
        </row>
        <row r="808">
          <cell r="C808" t="str">
            <v>93100-62000000</v>
          </cell>
          <cell r="D808">
            <v>999999</v>
          </cell>
          <cell r="E808" t="str">
            <v>006420-คุณธรรมรงค์ศักดิ์ -ค่ารถไปกลับ จากบ้านไป ดีซี กลับสำนักงานใหญ่</v>
          </cell>
          <cell r="F808">
            <v>720</v>
          </cell>
        </row>
        <row r="809">
          <cell r="C809" t="str">
            <v>93100-62000000</v>
          </cell>
          <cell r="D809">
            <v>999999</v>
          </cell>
          <cell r="E809" t="str">
            <v>006421-คุณณรงค์ -ค่ารถไป-กลับ จากดีซี มาสำนักงานใหญ่ 13,16,23/06/05</v>
          </cell>
          <cell r="F809">
            <v>1180</v>
          </cell>
        </row>
        <row r="810">
          <cell r="C810" t="str">
            <v>93100-62000000</v>
          </cell>
          <cell r="D810">
            <v>999999</v>
          </cell>
          <cell r="E810" t="str">
            <v>006422-คุณเกียรติศักดิ์-ค่ารถไปกลับ จากดีซีไปสำนักงานใหญ่ 17,23/06/05</v>
          </cell>
          <cell r="F810">
            <v>920</v>
          </cell>
        </row>
        <row r="811">
          <cell r="C811" t="str">
            <v>93100-62000000</v>
          </cell>
          <cell r="D811">
            <v>999999</v>
          </cell>
          <cell r="E811" t="str">
            <v>006423-คุณฐิติพร-ค่ารถไป-กลับ จากดีซี มาสำนักงานใหญ่ 17,23/06/05</v>
          </cell>
          <cell r="F811">
            <v>920</v>
          </cell>
        </row>
        <row r="812">
          <cell r="C812" t="str">
            <v>93100-62000000</v>
          </cell>
          <cell r="D812">
            <v>999999</v>
          </cell>
          <cell r="E812" t="str">
            <v>006424-คุณกิตติ-ค่ารถไป-กลับ จากดีซี มาสำนักงานใหญ่ 16,23/06/05</v>
          </cell>
          <cell r="F812">
            <v>720</v>
          </cell>
        </row>
        <row r="813">
          <cell r="C813" t="str">
            <v>00095-60141250</v>
          </cell>
          <cell r="D813">
            <v>999999</v>
          </cell>
          <cell r="E813" t="str">
            <v>006425-คุณอาจาริย์-ค่ารักษาพยาบาล ไข้หวัด ทอมซิลอักเสบ โรงพยาบาลสินแพทย์</v>
          </cell>
          <cell r="F813">
            <v>485</v>
          </cell>
        </row>
        <row r="814">
          <cell r="C814" t="str">
            <v>00003-62000000</v>
          </cell>
          <cell r="D814">
            <v>999999</v>
          </cell>
          <cell r="E814" t="str">
            <v>006426-คุณปัญญา-ค่ารถจากสุขาภิบาล3 ไปสาขาชิดลม</v>
          </cell>
          <cell r="F814">
            <v>150</v>
          </cell>
        </row>
        <row r="815">
          <cell r="C815" t="str">
            <v>00003-62000000</v>
          </cell>
          <cell r="D815">
            <v>999999</v>
          </cell>
          <cell r="E815" t="str">
            <v>006427-คุณบุญเพ็ง -ค่ารถแท็กซี่จากจอมทอง ไปชิดลม</v>
          </cell>
          <cell r="F815">
            <v>210</v>
          </cell>
        </row>
        <row r="816">
          <cell r="C816" t="str">
            <v>99999-11630251</v>
          </cell>
          <cell r="D816" t="str">
            <v>040123</v>
          </cell>
          <cell r="E816" t="str">
            <v>24/6/2005-#5888</v>
          </cell>
          <cell r="F816">
            <v>24305</v>
          </cell>
        </row>
        <row r="819">
          <cell r="C819" t="str">
            <v>00051-60141250</v>
          </cell>
          <cell r="D819">
            <v>999999</v>
          </cell>
          <cell r="E819" t="str">
            <v>006428-คุณจิตติพร-ค่ารักษาพยาบาล รพ.มงกุฏวัฒนะ วันที่ 13/06/05</v>
          </cell>
          <cell r="F819">
            <v>915</v>
          </cell>
        </row>
        <row r="820">
          <cell r="C820" t="str">
            <v>00042-62000000</v>
          </cell>
          <cell r="D820">
            <v>999999</v>
          </cell>
          <cell r="E820" t="str">
            <v>006429-คุณวรางคณา-ค่ารถแท็กซี่ไปกรมสรรพากร ยื่นหักภาษี 23-24/06/06</v>
          </cell>
          <cell r="F820">
            <v>250</v>
          </cell>
        </row>
        <row r="821">
          <cell r="C821" t="str">
            <v>00004-62000000</v>
          </cell>
          <cell r="D821">
            <v>999999</v>
          </cell>
          <cell r="E821" t="str">
            <v>006430-คุณอมรรัตน์-ค่ารถไปเซอร์เวย์โครงสร้าง SN,RH,LK,NC วันที่ 23-24/06/05,ค่ารถไปกลับรังสิต,ราชดำเนินเพื่อซื้ออุปกรณ์แล็ป,ค่ารถไปฝึกงานที่สาขา FDC 23-24/06/05 ,ค่าทางด่วน</v>
          </cell>
          <cell r="F821">
            <v>3044</v>
          </cell>
        </row>
        <row r="822">
          <cell r="C822" t="str">
            <v>00004-60900000</v>
          </cell>
          <cell r="D822">
            <v>999999</v>
          </cell>
          <cell r="E822" t="str">
            <v>006430-คุณอมรรัตน์-ค่าถ่านพานาโซนิก,ค่าอุปกรณห้อง Lab แท่งแก้วคนสาร,กรวยพลาสติก</v>
          </cell>
          <cell r="F822">
            <v>75.23</v>
          </cell>
        </row>
        <row r="823">
          <cell r="C823" t="str">
            <v>00004-60900000</v>
          </cell>
          <cell r="D823">
            <v>888888</v>
          </cell>
          <cell r="E823" t="str">
            <v>006430-คุณอมรรัตน์-Unclaimค่าถ่านพานาโซนิก</v>
          </cell>
          <cell r="F823">
            <v>4.22</v>
          </cell>
        </row>
        <row r="824">
          <cell r="C824" t="str">
            <v>45110-11630060</v>
          </cell>
          <cell r="D824">
            <v>999999</v>
          </cell>
          <cell r="E824" t="str">
            <v>006430-48082516-สำนักงานคณะกรรมการส่งเสิรมสวัสดิการ</v>
          </cell>
          <cell r="F824">
            <v>1.05</v>
          </cell>
        </row>
        <row r="825">
          <cell r="C825" t="str">
            <v>00054-62000000</v>
          </cell>
          <cell r="D825">
            <v>999999</v>
          </cell>
          <cell r="E825" t="str">
            <v>006431-คุณสุกัญญา-ค่ารถไปสำรวจราคาคู่แข่งขันที่โลตัสสะพานใหม่,โลตัสวังหิน,ฟู้ดแลนด์รามอินทรา,เอ็มโพเรียม,บิ๊กซีสะพานควาย,คาร์ฟูร์ รังสิต</v>
          </cell>
          <cell r="F825">
            <v>2270</v>
          </cell>
        </row>
        <row r="826">
          <cell r="C826" t="str">
            <v>00054-62000000</v>
          </cell>
          <cell r="D826">
            <v>999999</v>
          </cell>
          <cell r="E826" t="str">
            <v>006432-คุณอัญชนา-ค่ารถไปสำรวจราคาคู่แข่งขันที่โลตัสสะพานใหม่,โลตัสวังหิน,ฟู้ดแลนด์รามอินทรา,เอ็มโพเรียม,บิ๊กซีสะพานควาย,แม็คโครบางกะปิ วันที่ 20-24/06/05</v>
          </cell>
          <cell r="F826">
            <v>2270</v>
          </cell>
        </row>
        <row r="827">
          <cell r="C827" t="str">
            <v>31612-62000000</v>
          </cell>
          <cell r="D827">
            <v>999999</v>
          </cell>
          <cell r="E827" t="str">
            <v>006433-คุณแคทลียา-ค่ารถไปกรมการค้าต่างประเทศ เพื่อรับ สบ.5 และยื่นเอกสาร 21//06/05,ค่ารถไปสถานฑูตอังกฤษ เพื่อยื่นเอกสารรับเอกสาร 23-24/06/05,ค่ารถไปอย.เพื่อยื่นขอเลขสารบบ 2 รายการ 24/06/05</v>
          </cell>
          <cell r="F827">
            <v>700</v>
          </cell>
        </row>
        <row r="828">
          <cell r="C828" t="str">
            <v>00046-62805000</v>
          </cell>
          <cell r="D828">
            <v>999999</v>
          </cell>
          <cell r="E828" t="str">
            <v>006434-คุณกมลชนก-ค่าธรรมเนียมการโอนเงินให้ร้านค้าต่างจังหวัด อาณาจักรพืช บจก.</v>
          </cell>
          <cell r="F828">
            <v>173</v>
          </cell>
        </row>
        <row r="829">
          <cell r="C829" t="str">
            <v>00004-60141250</v>
          </cell>
          <cell r="D829">
            <v>999999</v>
          </cell>
          <cell r="E829" t="str">
            <v>006435-คุณปิ่นสุดารักษ์-ค่ารักษาพยาบาล รพ.รามคำแหง วันที่ 20/06/05</v>
          </cell>
          <cell r="F829">
            <v>391</v>
          </cell>
        </row>
        <row r="830">
          <cell r="C830" t="str">
            <v>00014-60141250</v>
          </cell>
          <cell r="D830">
            <v>999999</v>
          </cell>
          <cell r="E830" t="str">
            <v>006436-คุณอรรฆยา-ค่ารักษาพยาบาล รพ.มงกุฏวัฒนะ วันที่ 10/06/05 กระจกตาอักเสบ</v>
          </cell>
          <cell r="F830">
            <v>663</v>
          </cell>
        </row>
        <row r="831">
          <cell r="C831" t="str">
            <v>00014-60141250</v>
          </cell>
          <cell r="D831">
            <v>999999</v>
          </cell>
          <cell r="E831" t="str">
            <v>006437-คุณอรรฆยา-ค่ารักษาพยาบาล รพ.มงกุฏวัฒนะ วันที่ 10/06/05 หลอดคออักเสบ</v>
          </cell>
          <cell r="F831">
            <v>851.25</v>
          </cell>
        </row>
        <row r="832">
          <cell r="C832" t="str">
            <v>00014-60141250</v>
          </cell>
          <cell r="D832">
            <v>999999</v>
          </cell>
          <cell r="E832" t="str">
            <v>006438-คุณอรรฆยา-ค่ารักษาพยาบาล รพ.มงกุฏวัฒนะ วันที่ 21/06/05 กระจกตาอักเสบ</v>
          </cell>
          <cell r="F832">
            <v>1282.5</v>
          </cell>
        </row>
        <row r="833">
          <cell r="C833" t="str">
            <v>00014-62000000</v>
          </cell>
          <cell r="D833">
            <v>999999</v>
          </cell>
          <cell r="E833" t="str">
            <v>006439-คุณสุวิตดา-ค่ารถจากสาขาลาดพร้าวไปสาขาพระราม 3-ไปสาขาชิดลม-ไปสาขารังสิต-ไปโลตัสคลอง 4,ไปสาขาเซียร์ ไป เซอร์เวย์และสำรวจตลาดคู่แข่งขัน 15/06/05</v>
          </cell>
          <cell r="F833">
            <v>700</v>
          </cell>
        </row>
        <row r="834">
          <cell r="C834" t="str">
            <v>00025-62000000</v>
          </cell>
          <cell r="D834">
            <v>999999</v>
          </cell>
          <cell r="E834" t="str">
            <v>006440-คุณวรุตม์-ค่ารถไปอบรม EAS ให้กับพนง.สาขาลาดกระบัง,ค่ารถไป Check list สาขาสายไหม,พลาซ่าลากูน,สุขสวัสดิ์,นวมินทร์,เซียร์รังสิต วันที่ 09,13,15-16,20-21,23/05/05</v>
          </cell>
          <cell r="F834">
            <v>270</v>
          </cell>
        </row>
        <row r="835">
          <cell r="C835" t="str">
            <v>00025-61805050</v>
          </cell>
          <cell r="D835">
            <v>999999</v>
          </cell>
          <cell r="E835" t="str">
            <v>006440-คุณวรุตม์-ค่ารถไปสาขาศรีราชา,พัทยา วันที่ 23/06/05 ไป Check List สาขา</v>
          </cell>
          <cell r="F835">
            <v>286</v>
          </cell>
        </row>
        <row r="836">
          <cell r="C836" t="str">
            <v>00025-60900000</v>
          </cell>
          <cell r="D836">
            <v>999999</v>
          </cell>
          <cell r="E836" t="str">
            <v>006440-คุณวรุตม์-ค่าปั้มกุญแจสำรองประตูเช้าออกพนักงาน,ค่าล้างรูปงานกิจกรรม</v>
          </cell>
          <cell r="F836">
            <v>86</v>
          </cell>
        </row>
        <row r="837">
          <cell r="C837" t="str">
            <v>00025-61705150</v>
          </cell>
          <cell r="D837">
            <v>999999</v>
          </cell>
          <cell r="E837" t="str">
            <v>006440-คุณวรุตม์-ค่าแพลนบอร์ด,กระดาษกาวสองหน้า</v>
          </cell>
          <cell r="F837">
            <v>354.21</v>
          </cell>
        </row>
        <row r="838">
          <cell r="C838" t="str">
            <v>45110-11630060</v>
          </cell>
          <cell r="D838">
            <v>999999</v>
          </cell>
          <cell r="E838" t="str">
            <v>006440-คุณวรุตม์-8168211-บีทูเอส</v>
          </cell>
          <cell r="F838">
            <v>24.79</v>
          </cell>
        </row>
        <row r="839">
          <cell r="C839" t="str">
            <v>00025-61805050</v>
          </cell>
          <cell r="D839">
            <v>999999</v>
          </cell>
          <cell r="E839" t="str">
            <v>006440-คุณวรุตม์-ค่าเบี้ยเลี้ยง ไปสาขาศรีราชา,พัทยา 23-06-05</v>
          </cell>
          <cell r="F839">
            <v>120</v>
          </cell>
        </row>
        <row r="840">
          <cell r="C840" t="str">
            <v>00024-62000000</v>
          </cell>
          <cell r="D840">
            <v>999999</v>
          </cell>
          <cell r="E840" t="str">
            <v>006441-คุณธนิศรา-ค่ารถไปกลับสาขาอาร์ซีเอ ไป Visit Store 24/06/05</v>
          </cell>
          <cell r="F840">
            <v>204</v>
          </cell>
        </row>
        <row r="841">
          <cell r="C841" t="str">
            <v>00016-62000000</v>
          </cell>
          <cell r="D841">
            <v>999999</v>
          </cell>
          <cell r="E841" t="str">
            <v>006442-คุณสุนิสา-ค่ารถไปพบ Supplier ที่สาขาลิดลม และไปดูสินค้าที่สุขุมวิท 22</v>
          </cell>
          <cell r="F841">
            <v>195</v>
          </cell>
        </row>
        <row r="842">
          <cell r="C842" t="str">
            <v>99999-11635104</v>
          </cell>
          <cell r="D842">
            <v>999999</v>
          </cell>
          <cell r="E842" t="str">
            <v>006443-คุณฐิติวรรณ- Adv.P06/036</v>
          </cell>
          <cell r="F842">
            <v>3500</v>
          </cell>
        </row>
        <row r="843">
          <cell r="C843" t="str">
            <v>99999-11635104</v>
          </cell>
          <cell r="D843">
            <v>999999</v>
          </cell>
          <cell r="E843" t="str">
            <v>006444-คุณยุวลักษณ์-Adv.P06/035</v>
          </cell>
          <cell r="F843">
            <v>4000</v>
          </cell>
        </row>
        <row r="844">
          <cell r="C844" t="str">
            <v>99999-11630251</v>
          </cell>
          <cell r="D844" t="str">
            <v>040123</v>
          </cell>
          <cell r="E844" t="str">
            <v>27/6/2005-#5974</v>
          </cell>
          <cell r="F844">
            <v>22630.25</v>
          </cell>
        </row>
        <row r="847">
          <cell r="C847" t="str">
            <v>00047-62000000</v>
          </cell>
          <cell r="D847">
            <v>999999</v>
          </cell>
          <cell r="E847" t="str">
            <v>006445-คุณวรรณดี-ค่ารถไปกลับพลาซ่าลากูล-สำนักงานใหญ่21/06/05</v>
          </cell>
          <cell r="F847">
            <v>180</v>
          </cell>
        </row>
        <row r="848">
          <cell r="C848" t="str">
            <v>00015-62000000</v>
          </cell>
          <cell r="D848">
            <v>999999</v>
          </cell>
          <cell r="E848" t="str">
            <v>006446-คุณวุฒิพันธ์-ค่ารถ Mileage 234*4.83 ,ค่าทางด่วน ปฏิบัติงานแผนกอาหารสด 09-26/06/05 สาขา SV,TL,BN,ZR,SK,PY</v>
          </cell>
          <cell r="F848">
            <v>1170</v>
          </cell>
        </row>
        <row r="849">
          <cell r="C849" t="str">
            <v>00047-62000000</v>
          </cell>
          <cell r="D849">
            <v>999999</v>
          </cell>
          <cell r="E849" t="str">
            <v>006447-คุณอินทีรา-ค่ารถไปตรวจสาขา PL วันที่ 23/06/05</v>
          </cell>
          <cell r="F849">
            <v>180</v>
          </cell>
        </row>
        <row r="850">
          <cell r="C850" t="str">
            <v>99999-11635104</v>
          </cell>
          <cell r="D850">
            <v>999999</v>
          </cell>
          <cell r="E850" t="str">
            <v>006448-คุณวีระ-เบิก Adv.P06/037</v>
          </cell>
          <cell r="F850">
            <v>5000</v>
          </cell>
        </row>
        <row r="851">
          <cell r="C851" t="str">
            <v>00023-62000000</v>
          </cell>
          <cell r="D851">
            <v>999999</v>
          </cell>
          <cell r="E851" t="str">
            <v>006449-คุณยุทธพงศ์-ค่ารถไปปฏิบัติงานต่างสาขาตั้งแต่ 01/06/05-27/06/05 นายเอกพงษ์ ขันทอง สาขานวนคร,เซียร์,รังสิต,สีลมคอม,พหลโยธิน,สรงประภา,รัตนาธิเบศร์</v>
          </cell>
          <cell r="F851">
            <v>789</v>
          </cell>
        </row>
        <row r="852">
          <cell r="C852" t="str">
            <v>00023-62000000</v>
          </cell>
          <cell r="D852">
            <v>999999</v>
          </cell>
          <cell r="E852" t="str">
            <v>006450-คุณยุทธพงศ์-ค่ารถไปปฏิบัติงานที่สาขาลาดพร้าว วันที่ 24/06/05</v>
          </cell>
          <cell r="F852">
            <v>300</v>
          </cell>
        </row>
        <row r="853">
          <cell r="C853" t="str">
            <v>00023-62000000</v>
          </cell>
          <cell r="D853">
            <v>999999</v>
          </cell>
          <cell r="E853" t="str">
            <v>006451-คุณยุทธพงศ์-ค่ารถไปปฏิบัติงาน่สาขาเมเจอร์,ราม 2,ลาดพร้าว,ประชานิเวศน์ 08-09,20,23,27/06/05</v>
          </cell>
          <cell r="F853">
            <v>598</v>
          </cell>
        </row>
        <row r="854">
          <cell r="C854" t="str">
            <v>00063-60144110</v>
          </cell>
          <cell r="D854">
            <v>999999</v>
          </cell>
          <cell r="E854" t="str">
            <v>006452-คุณอรวรรณ-ค่ารถสำหรับคุณสมนึก สาขาบางรัก มาให้ความรู้ในเนื้องาน แผนก Food/Non Food วันที่9-10/06/05</v>
          </cell>
          <cell r="F854">
            <v>290</v>
          </cell>
        </row>
        <row r="855">
          <cell r="C855" t="str">
            <v>00063-60144110</v>
          </cell>
          <cell r="D855">
            <v>999999</v>
          </cell>
          <cell r="E855" t="str">
            <v>006452-คุณอรวรรณ-ค่ารถสำหรับคุณใจเริง สาขาชิดลม มาให้ความรู้ในเนื้องาน แผนก Food/Non Food วันที่9-10/06/05</v>
          </cell>
          <cell r="F855">
            <v>200</v>
          </cell>
        </row>
        <row r="856">
          <cell r="C856" t="str">
            <v>00063-60144110</v>
          </cell>
          <cell r="D856">
            <v>999999</v>
          </cell>
          <cell r="E856" t="str">
            <v>006452-คุณอรวรรณ-ค่าอาหารกลางวันและน้ำดื่มสำหรับการอบรมความรู้ในเนื้องาน 24 คน</v>
          </cell>
          <cell r="F856">
            <v>1504.68</v>
          </cell>
        </row>
        <row r="857">
          <cell r="C857" t="str">
            <v>00063-60144110</v>
          </cell>
          <cell r="D857">
            <v>999999</v>
          </cell>
          <cell r="E857" t="str">
            <v>006452-คุณอรวรรณ-ค่ารถไปตึกซันทาวเวอร์สไปขนอุปกรณ์ในการอบรม</v>
          </cell>
          <cell r="F857">
            <v>410</v>
          </cell>
        </row>
        <row r="858">
          <cell r="C858" t="str">
            <v>00063-63040000</v>
          </cell>
          <cell r="D858">
            <v>999999</v>
          </cell>
          <cell r="E858" t="str">
            <v>006452-คุณอรวรรณ-ค่าหนังสืออิมเมจ,อสท.,พลอยแกมเพชร เข้าห้องสมุด 06/05</v>
          </cell>
          <cell r="F858">
            <v>306</v>
          </cell>
        </row>
        <row r="859">
          <cell r="C859" t="str">
            <v>00063-60144110</v>
          </cell>
          <cell r="D859">
            <v>888888</v>
          </cell>
          <cell r="E859" t="str">
            <v>006452-คุณอรวรรณ-Unclaimค่าอาหารกลางวันและน้ำดื่มสำหรับการอบรมความรู้ในเนื้องาน 24 คน</v>
          </cell>
          <cell r="F859">
            <v>105.32</v>
          </cell>
        </row>
        <row r="860">
          <cell r="C860" t="str">
            <v>00063-60144110</v>
          </cell>
          <cell r="D860">
            <v>999999</v>
          </cell>
          <cell r="E860" t="str">
            <v>006453-คุณวีรยุทธ-ค่ารถไปกลับถ.ประชาอุทิศ,สุขสวัสดิ์,ลาดพร้าว 24-25/06/05,ค่ารถไปจัดอบรมที่สาขารามอินทรา 27/06/05</v>
          </cell>
          <cell r="F860">
            <v>515</v>
          </cell>
        </row>
        <row r="861">
          <cell r="C861" t="str">
            <v>00063-61805050</v>
          </cell>
          <cell r="D861">
            <v>999999</v>
          </cell>
          <cell r="E861" t="str">
            <v>006453-คุณวีรยุทธ-ค่าเบี้ยเลี้ยงไปอบรมหลักสูตร "มุ่งถึงผลสำเร็จ" ที่อยุธยา 24-25/06/05</v>
          </cell>
          <cell r="F861">
            <v>320</v>
          </cell>
        </row>
        <row r="862">
          <cell r="C862" t="str">
            <v>00042-62000000</v>
          </cell>
          <cell r="D862">
            <v>999999</v>
          </cell>
          <cell r="E862" t="str">
            <v>006454-คุณวิไล-ค่ารถไปสาขาสุขุมวิท 41 ไปจดขนาดป้ายที่เปลี่ยนแปลง 27/06/05</v>
          </cell>
          <cell r="F862">
            <v>133</v>
          </cell>
        </row>
        <row r="863">
          <cell r="C863" t="str">
            <v>99999-11630251</v>
          </cell>
          <cell r="D863" t="str">
            <v>040123</v>
          </cell>
          <cell r="E863" t="str">
            <v>28/6/2005-#6082</v>
          </cell>
          <cell r="F863">
            <v>12001</v>
          </cell>
        </row>
        <row r="866">
          <cell r="C866" t="str">
            <v>00052-60141250</v>
          </cell>
          <cell r="D866">
            <v>999999</v>
          </cell>
          <cell r="E866" t="str">
            <v>006455-คุณสุวรรณี-ค่ารักษาพยาบาล รพ.ศิครินทร์ วันที่ 25/06/05</v>
          </cell>
          <cell r="F866">
            <v>1738</v>
          </cell>
        </row>
        <row r="867">
          <cell r="C867" t="str">
            <v>00052-60141250</v>
          </cell>
          <cell r="D867">
            <v>999999</v>
          </cell>
          <cell r="E867" t="str">
            <v>006456-คุณพิศิษฐ์-ค่ารักษาพยาบาล รพ.ตา หู คอ จมูก วันที่ 09,17/06/05</v>
          </cell>
          <cell r="F867">
            <v>1076</v>
          </cell>
        </row>
        <row r="868">
          <cell r="C868" t="str">
            <v>00013-60141250</v>
          </cell>
          <cell r="D868">
            <v>999999</v>
          </cell>
          <cell r="E868" t="str">
            <v>006457-คุณเรณู-ค่ารักษาพยาบาล รพ.พญาไท 2 วันที่ 15/06/05</v>
          </cell>
          <cell r="F868">
            <v>1887</v>
          </cell>
        </row>
        <row r="869">
          <cell r="C869" t="str">
            <v>00093-62000000</v>
          </cell>
          <cell r="D869">
            <v>999999</v>
          </cell>
          <cell r="E869" t="str">
            <v>006458-คุณเกษรา-ค่ารถมาทำงานที่สนญ. ทำ Order จาก Esso ไม่สามารถ Interface ให้ DC ได้ 26/06/05</v>
          </cell>
          <cell r="F869">
            <v>320</v>
          </cell>
        </row>
        <row r="870">
          <cell r="C870" t="str">
            <v>00093-62000000</v>
          </cell>
          <cell r="D870">
            <v>999999</v>
          </cell>
          <cell r="E870" t="str">
            <v>006459-คุณเบญจวรรณ-ค่ารถมาทำงานที่สนญ. ทำ Order จาก Esso ไม่สามารถ Interface ให้ DC ได้ 26/06/05</v>
          </cell>
          <cell r="F870">
            <v>480</v>
          </cell>
        </row>
        <row r="871">
          <cell r="C871" t="str">
            <v>00003-62000000</v>
          </cell>
          <cell r="D871">
            <v>999999</v>
          </cell>
          <cell r="E871" t="str">
            <v>006460-คุณรังศรี-ค่ารถจากสุทธิสาร-สาขาชิดลม เพื่อซ้อมอพยพหนีไฟ วันที่ 21/06/05</v>
          </cell>
          <cell r="F871">
            <v>100</v>
          </cell>
        </row>
        <row r="872">
          <cell r="C872" t="str">
            <v>00015-62100100</v>
          </cell>
          <cell r="D872">
            <v>999999</v>
          </cell>
          <cell r="E872" t="str">
            <v>006461-คุณจารุณี-ค่าอุปกรณ์ไฟฟ้า Adaptor 2 อัน</v>
          </cell>
          <cell r="F872">
            <v>147.66</v>
          </cell>
        </row>
        <row r="873">
          <cell r="C873" t="str">
            <v>45110-11630060</v>
          </cell>
          <cell r="D873">
            <v>999999</v>
          </cell>
          <cell r="E873" t="str">
            <v>006461-คุณจารุณี-054002240-สรรพสินค้าเซ็นทรัล สาขาลาดพร้าว</v>
          </cell>
          <cell r="F873">
            <v>10.34</v>
          </cell>
        </row>
        <row r="874">
          <cell r="C874" t="str">
            <v>00095-62000000</v>
          </cell>
          <cell r="D874">
            <v>999999</v>
          </cell>
          <cell r="E874" t="str">
            <v>006462-คุณณัฐกฤษณ์-ค่ารถไปประชุมที่ อาร์ไอเอส 24/06/05</v>
          </cell>
          <cell r="F874">
            <v>25</v>
          </cell>
        </row>
        <row r="875">
          <cell r="C875" t="str">
            <v>00095-61805050</v>
          </cell>
          <cell r="D875">
            <v>999999</v>
          </cell>
          <cell r="E875" t="str">
            <v>006462-คุณณัฐกฤษณ์-ค่าเบี้ยเลี้ยงไปสาขาศรีราชา เปลี่ยน Sever 20-21/06/05</v>
          </cell>
          <cell r="F875">
            <v>320</v>
          </cell>
        </row>
        <row r="876">
          <cell r="C876" t="str">
            <v>00095-61805050</v>
          </cell>
          <cell r="D876">
            <v>999999</v>
          </cell>
          <cell r="E876" t="str">
            <v>006463-คุณอนันต์เดช--ค่าเบี้ยเลี้ยงไปสาขาศรีราชา เปลี่ยน Sever 20-21/06/05</v>
          </cell>
          <cell r="F876">
            <v>320</v>
          </cell>
        </row>
        <row r="877">
          <cell r="C877" t="str">
            <v>00095-62000000</v>
          </cell>
          <cell r="D877">
            <v>999999</v>
          </cell>
          <cell r="E877" t="str">
            <v>006463-คุณอนันต์เดช-ค่ารถไป FAST บางรัก ติดตั้ง Program Oracle 23/06/05,ค่ารถไปประชุมที่อาร์ไอเอส 24/06/05</v>
          </cell>
          <cell r="F877">
            <v>349</v>
          </cell>
        </row>
        <row r="878">
          <cell r="C878" t="str">
            <v>00095-61805050</v>
          </cell>
          <cell r="D878">
            <v>999999</v>
          </cell>
          <cell r="E878" t="str">
            <v>006464-คุณอาจารีย์-ค่าเบี้ยเลี้ยงไปทำงานที่สาขาศรีรราชา 20-21/06</v>
          </cell>
          <cell r="F878">
            <v>320</v>
          </cell>
        </row>
        <row r="879">
          <cell r="C879" t="str">
            <v>00095-62000000</v>
          </cell>
          <cell r="D879">
            <v>999999</v>
          </cell>
          <cell r="E879" t="str">
            <v>006464-คุณอาจารีย์-ค่ารถไปประชุมที่อาร์ไอเอส วันที่ 24/06/05</v>
          </cell>
          <cell r="F879">
            <v>80</v>
          </cell>
        </row>
        <row r="880">
          <cell r="C880" t="str">
            <v>00004-60141250</v>
          </cell>
          <cell r="D880">
            <v>999999</v>
          </cell>
          <cell r="E880" t="str">
            <v>006465-คุณอมรรัตน์-ค่ารักษาพยาบาล รพ.วิภาวดีรังสิต วันที่ 24/06/05</v>
          </cell>
          <cell r="F880">
            <v>313</v>
          </cell>
        </row>
        <row r="881">
          <cell r="C881" t="str">
            <v>82200-60141250</v>
          </cell>
          <cell r="D881">
            <v>999999</v>
          </cell>
          <cell r="E881" t="str">
            <v>006466-คุณกฤษณ์-ค่ารักษาพยาบาล รพ.มงกุฏวัฒนะ วันที่ 09/06/05 สาขาดีซี</v>
          </cell>
          <cell r="F881">
            <v>474.75</v>
          </cell>
        </row>
        <row r="882">
          <cell r="C882" t="str">
            <v>00062-62000000</v>
          </cell>
          <cell r="D882">
            <v>999999</v>
          </cell>
          <cell r="E882" t="str">
            <v>006467-คุณวราภรณ์-ค่ารถจากสนญ.-สาขาเจริญกรุง +ค่าทางด่วน ไปรับสมัครงานพนักงาน</v>
          </cell>
          <cell r="F882">
            <v>402</v>
          </cell>
        </row>
        <row r="883">
          <cell r="C883" t="str">
            <v>00021-60141250</v>
          </cell>
          <cell r="D883">
            <v>999999</v>
          </cell>
          <cell r="E883" t="str">
            <v>006468-คุณสุมามาลย์-ค่ารักษาพยาบาล รพ.เวชธานี วันที่ 15/06/05</v>
          </cell>
          <cell r="F883">
            <v>2618</v>
          </cell>
        </row>
        <row r="884">
          <cell r="C884" t="str">
            <v>00045-62000000</v>
          </cell>
          <cell r="D884">
            <v>999999</v>
          </cell>
          <cell r="E884" t="str">
            <v>006469-คุณชัยวัฒน์-ค่ารถไปขนเอกสาร Sale Ship บัตรเซ็นทรัลการ์ดของเดือน 02/06</v>
          </cell>
          <cell r="F884">
            <v>800</v>
          </cell>
        </row>
        <row r="885">
          <cell r="C885" t="str">
            <v>00014-62000000</v>
          </cell>
          <cell r="D885">
            <v>999999</v>
          </cell>
          <cell r="E885" t="str">
            <v>006470-คุณนภัสสร-ค่ารถจากลาดพร้าวไป-กลับรังสิตไปเช็คสินค้าที่สาขาวันที่27/6/48</v>
          </cell>
          <cell r="F885">
            <v>285</v>
          </cell>
        </row>
        <row r="886">
          <cell r="C886" t="str">
            <v>00013-62000000</v>
          </cell>
          <cell r="D886">
            <v>999999</v>
          </cell>
          <cell r="E886" t="str">
            <v>006471-คุณอมรา-ค่ารถจากท็อปส์ RCA ไปสาขาแฟชั่น</v>
          </cell>
          <cell r="F886">
            <v>140</v>
          </cell>
        </row>
        <row r="887">
          <cell r="C887" t="str">
            <v>00013-62000000</v>
          </cell>
          <cell r="D887">
            <v>999999</v>
          </cell>
          <cell r="E887" t="str">
            <v>006472-คุณกิตติพงษ์-ค่ารถแท็กซี่จากลาดพร้าวไปรัชดา ,อาร์ซีเอ,กลับลาดพร้าว</v>
          </cell>
          <cell r="F887">
            <v>248</v>
          </cell>
        </row>
        <row r="888">
          <cell r="C888" t="str">
            <v>00013-62000000</v>
          </cell>
          <cell r="D888">
            <v>999999</v>
          </cell>
          <cell r="E888" t="str">
            <v>006473-คุณสุกัญญา-ค่ารถแท็กซี่จากไป-กลับ โรงแรมเซ็นทรัลลาดพร้าว</v>
          </cell>
          <cell r="F888">
            <v>160</v>
          </cell>
        </row>
        <row r="889">
          <cell r="C889" t="str">
            <v>00017-61100000</v>
          </cell>
          <cell r="D889">
            <v>999999</v>
          </cell>
          <cell r="E889" t="str">
            <v>006474-คุณลักษณบูล-ค่าสินค้าสำหรับทำ Test สินค้า,ค่าขนมเค้ก เพื่อทดลองชิมสำหรับเพื่อพัฒนาสินค้าใหม่</v>
          </cell>
          <cell r="F889">
            <v>398.78</v>
          </cell>
        </row>
        <row r="890">
          <cell r="C890" t="str">
            <v>00017-61100000</v>
          </cell>
          <cell r="D890">
            <v>888888</v>
          </cell>
          <cell r="E890" t="str">
            <v>006474-คุณลักษณบูล-Unclaimค่าสินค้าสำหรับทำ Test สินค้า,ค่าขนมเค้ก เพื่อทดลองชิมสำหรับเพื่อพัฒนาสินค้าใหม่</v>
          </cell>
          <cell r="F890">
            <v>4.47</v>
          </cell>
        </row>
        <row r="891">
          <cell r="C891" t="str">
            <v>00012-62000000</v>
          </cell>
          <cell r="D891">
            <v>999999</v>
          </cell>
          <cell r="E891" t="str">
            <v>006475-คุณปราถนา-ค่ารถจากบ้านไปสวนจตุจักรไปเลือกสินค้าเทศกาลปีใหม่ 2549,ค่ารถไปสาขารัชดา,สาขาอาร์ซีเอ กลับ้านที่ปทุม ไป Visit Store ,ค่าทางด่วน</v>
          </cell>
          <cell r="F891">
            <v>855</v>
          </cell>
        </row>
        <row r="892">
          <cell r="C892" t="str">
            <v>00015-62000000</v>
          </cell>
          <cell r="D892">
            <v>999999</v>
          </cell>
          <cell r="E892" t="str">
            <v>006476-คุณศิโรรัตน์-ค่า Mileage ปฏิบัติงานอาหารสด SK,CL,CW วันที่ 14-15/06/05,ค่าแท็กซี่ไปซื้อตั๋วเดินทางที่พระราม 4 15-16/05/05</v>
          </cell>
          <cell r="F892">
            <v>948.25</v>
          </cell>
        </row>
        <row r="893">
          <cell r="C893" t="str">
            <v>00015-60900000</v>
          </cell>
          <cell r="D893">
            <v>999999</v>
          </cell>
          <cell r="E893" t="str">
            <v>006476-คุณศิโรรัตน์-ค่าล้างอัดรูปเมนูลำใย</v>
          </cell>
          <cell r="F893">
            <v>672.9</v>
          </cell>
        </row>
        <row r="894">
          <cell r="C894" t="str">
            <v>45110-11630060</v>
          </cell>
          <cell r="D894">
            <v>999999</v>
          </cell>
          <cell r="E894" t="str">
            <v>006476-คุณศิโรรัตน์-160/7956</v>
          </cell>
          <cell r="F894">
            <v>47.1</v>
          </cell>
        </row>
        <row r="895">
          <cell r="C895" t="str">
            <v>31612-62000000</v>
          </cell>
          <cell r="D895">
            <v>999999</v>
          </cell>
          <cell r="E895" t="str">
            <v>006477-คุณไพรินทร์-ค่ารถจากสนญ.-สถานฑูตอังกฤษ เพื่อรับรองเอกสาร ,ค่ารถไป อย.เพื่อยื่นสบ.5 29/06/05</v>
          </cell>
          <cell r="F895">
            <v>418</v>
          </cell>
        </row>
        <row r="896">
          <cell r="C896" t="str">
            <v>00014-62000000</v>
          </cell>
          <cell r="D896">
            <v>999999</v>
          </cell>
          <cell r="E896" t="str">
            <v>006478-คุณกรุณา -ค่ารถแท็กซี่จากลาดพร้าวไปรังสิต ไป-กลับ23/06/05</v>
          </cell>
          <cell r="F896">
            <v>255</v>
          </cell>
        </row>
        <row r="897">
          <cell r="C897" t="str">
            <v>00052-62000000</v>
          </cell>
          <cell r="D897">
            <v>999999</v>
          </cell>
          <cell r="E897" t="str">
            <v>006479-คุณอนันต์-ค่ารถไปสาขาทองหล่อ ถ่ายรูปทำอาหาร 26/06/05</v>
          </cell>
          <cell r="F897">
            <v>270</v>
          </cell>
        </row>
        <row r="898">
          <cell r="C898" t="str">
            <v>00052-60900000</v>
          </cell>
          <cell r="D898">
            <v>999999</v>
          </cell>
          <cell r="E898" t="str">
            <v>006479-คุณอนันต์-ค่าล้างอัดรูป</v>
          </cell>
          <cell r="F898">
            <v>163.55000000000001</v>
          </cell>
        </row>
        <row r="899">
          <cell r="C899" t="str">
            <v>45110-11630060</v>
          </cell>
          <cell r="D899">
            <v>999999</v>
          </cell>
          <cell r="E899" t="str">
            <v>006479-คุณอนันต์-198/9895</v>
          </cell>
          <cell r="F899">
            <v>11.45</v>
          </cell>
        </row>
        <row r="900">
          <cell r="C900" t="str">
            <v>00015-60141250</v>
          </cell>
          <cell r="D900">
            <v>999999</v>
          </cell>
          <cell r="E900" t="str">
            <v>006480-คุณจิตริณี-ค่ารักษาพยาบาล รพ.บำรุงราษฏร์ วันที่ 17/06/05</v>
          </cell>
          <cell r="F900">
            <v>5220</v>
          </cell>
        </row>
        <row r="901">
          <cell r="C901" t="str">
            <v>82200-60141250</v>
          </cell>
          <cell r="D901">
            <v>999999</v>
          </cell>
          <cell r="E901" t="str">
            <v>006481-คุณกฤษณา-ค่ารักษาพยาบาล รพ.บางมด วันที่ 11/06/05 สาขาดีซี</v>
          </cell>
          <cell r="F901">
            <v>770</v>
          </cell>
        </row>
        <row r="902">
          <cell r="C902" t="str">
            <v>00012-62000000</v>
          </cell>
          <cell r="D902">
            <v>999999</v>
          </cell>
          <cell r="E902" t="str">
            <v>006482-คุณนเรศ-ค่ารถ+ทางด่วนไปกลับกระทรวงยุติธรรม-HO</v>
          </cell>
          <cell r="F902">
            <v>285</v>
          </cell>
        </row>
        <row r="903">
          <cell r="C903" t="str">
            <v>00064-60900000</v>
          </cell>
          <cell r="D903">
            <v>999999</v>
          </cell>
          <cell r="E903" t="str">
            <v>006483-คุณอรวีณ์-ค่าอุปกรณ์จัดทำวีดีโอ+ซีดี ประหยัดพลังงาน</v>
          </cell>
          <cell r="F903">
            <v>1003.9</v>
          </cell>
        </row>
        <row r="904">
          <cell r="C904" t="str">
            <v>45110-11630060</v>
          </cell>
          <cell r="D904">
            <v>999999</v>
          </cell>
          <cell r="E904" t="str">
            <v>006483-คุณอรวีณ์-210/10471-ปิยะอีเล็คทริคซัพพลาย</v>
          </cell>
          <cell r="F904">
            <v>16.100000000000001</v>
          </cell>
        </row>
        <row r="905">
          <cell r="C905" t="str">
            <v>00064-62000000</v>
          </cell>
          <cell r="D905">
            <v>999999</v>
          </cell>
          <cell r="E905" t="str">
            <v>006483-คุณอรวีณ์-ค่ารถไปซื้ออุปกรณ์</v>
          </cell>
          <cell r="F905">
            <v>300</v>
          </cell>
        </row>
        <row r="906">
          <cell r="C906" t="str">
            <v>00064-63050000</v>
          </cell>
          <cell r="D906">
            <v>999999</v>
          </cell>
          <cell r="E906" t="str">
            <v>006483-คุณรัตนา-ค่าดูแลการกำจัดแมลงบริเวณชั้น 6-7</v>
          </cell>
          <cell r="F906">
            <v>400</v>
          </cell>
        </row>
        <row r="907">
          <cell r="C907" t="str">
            <v>00064-62000000</v>
          </cell>
          <cell r="D907">
            <v>999999</v>
          </cell>
          <cell r="E907" t="str">
            <v>006483-คุณนรา-ค่าที่จอดรถตึก UBC</v>
          </cell>
          <cell r="F907">
            <v>10</v>
          </cell>
        </row>
        <row r="908">
          <cell r="C908" t="str">
            <v>00064-61420000</v>
          </cell>
          <cell r="D908">
            <v>999999</v>
          </cell>
          <cell r="E908" t="str">
            <v>006483-คุณชวลิต-ค่าส่งจดหมาย EMS วันที่ 16/06/05</v>
          </cell>
          <cell r="F908">
            <v>86</v>
          </cell>
        </row>
        <row r="909">
          <cell r="C909" t="str">
            <v>00061-63050000</v>
          </cell>
          <cell r="D909">
            <v>999999</v>
          </cell>
          <cell r="E909" t="str">
            <v>006483-คุณอารีย์-ค่าโคมไม้,หลอดลักซ์ ของที่ระลึกเลี้ยงส่งคุณธัญญธร</v>
          </cell>
          <cell r="F909">
            <v>1470.09</v>
          </cell>
        </row>
        <row r="910">
          <cell r="C910" t="str">
            <v>45110-11630060</v>
          </cell>
          <cell r="D910">
            <v>999999</v>
          </cell>
          <cell r="E910" t="str">
            <v>006483-คุณอารีย์-9007299-ซีอาร์ซีเพาเวอร์ รีเทล</v>
          </cell>
          <cell r="F910">
            <v>11.91</v>
          </cell>
        </row>
        <row r="911">
          <cell r="C911" t="str">
            <v>00061-62000000</v>
          </cell>
          <cell r="D911">
            <v>999999</v>
          </cell>
          <cell r="E911" t="str">
            <v>006483-คุณอารีย์-ค่ารถไปซื้อของ</v>
          </cell>
          <cell r="F911">
            <v>450</v>
          </cell>
        </row>
        <row r="912">
          <cell r="C912" t="str">
            <v>00064-61420000</v>
          </cell>
          <cell r="D912">
            <v>999999</v>
          </cell>
          <cell r="E912" t="str">
            <v>006483-คุณชวลิต-ค่าส่งจดหมาย EMS วันที่ 17/06/05</v>
          </cell>
          <cell r="F912">
            <v>98</v>
          </cell>
        </row>
        <row r="913">
          <cell r="C913" t="str">
            <v>00064-62000000</v>
          </cell>
          <cell r="D913">
            <v>999999</v>
          </cell>
          <cell r="E913" t="str">
            <v>006483-คุณนรา-ค่าที่จอดรถตึก CENTRIE</v>
          </cell>
          <cell r="F913">
            <v>20</v>
          </cell>
        </row>
        <row r="914">
          <cell r="C914" t="str">
            <v>00054-60900000</v>
          </cell>
          <cell r="D914">
            <v>999999</v>
          </cell>
          <cell r="E914" t="str">
            <v>006483-คุณนันทิมา-ค่าแบตเตอรี่สำรองมือถือของ Marking Support</v>
          </cell>
          <cell r="F914">
            <v>373.83</v>
          </cell>
        </row>
        <row r="915">
          <cell r="C915" t="str">
            <v>45110-11630060</v>
          </cell>
          <cell r="D915">
            <v>999999</v>
          </cell>
          <cell r="E915" t="str">
            <v>006483-คุณนันทิมา-001-จัสมิน สมาร์ทช็อป</v>
          </cell>
          <cell r="F915">
            <v>26.17</v>
          </cell>
        </row>
        <row r="916">
          <cell r="C916" t="str">
            <v>00064-60900000</v>
          </cell>
          <cell r="D916">
            <v>999999</v>
          </cell>
          <cell r="E916" t="str">
            <v>006483-คุณอาทิตยา-ค่ากาแฟ,ครีมซอง,น้ำตาลซอง,ชา,โอวัลติน</v>
          </cell>
          <cell r="F916">
            <v>1822.66</v>
          </cell>
        </row>
        <row r="917">
          <cell r="C917" t="str">
            <v>00064-60900000</v>
          </cell>
          <cell r="D917">
            <v>888888</v>
          </cell>
          <cell r="E917" t="str">
            <v>006483-คุณอาทิตยา-Unclaimค่ากาแฟ,ครีมซอง,น้ำตาลซอง,ชา,โอวัลติน</v>
          </cell>
          <cell r="F917">
            <v>127.59</v>
          </cell>
        </row>
        <row r="918">
          <cell r="C918" t="str">
            <v>00018-61705150</v>
          </cell>
          <cell r="D918">
            <v>999999</v>
          </cell>
          <cell r="E918" t="str">
            <v>006483-คุณวันดี-ค่าทำนามบัตรคุณสมนีก ยอดดำเนิน</v>
          </cell>
          <cell r="F918">
            <v>650</v>
          </cell>
        </row>
        <row r="919">
          <cell r="C919" t="str">
            <v>00064-61420000</v>
          </cell>
          <cell r="D919">
            <v>999999</v>
          </cell>
          <cell r="E919" t="str">
            <v>006483-คุณชวลิต-ค่าส่งจดหมาย EMS วันที่ 21/06/05</v>
          </cell>
          <cell r="F919">
            <v>113</v>
          </cell>
        </row>
        <row r="920">
          <cell r="C920" t="str">
            <v>00064-62000000</v>
          </cell>
          <cell r="D920">
            <v>999999</v>
          </cell>
          <cell r="E920" t="str">
            <v>006483-คุณนันทิมา-ค่าคูปองจอดรถประจำเดือน 06/05</v>
          </cell>
          <cell r="F920">
            <v>4672.8999999999996</v>
          </cell>
        </row>
        <row r="921">
          <cell r="C921" t="str">
            <v>45110-11630060</v>
          </cell>
          <cell r="D921">
            <v>999999</v>
          </cell>
          <cell r="E921" t="str">
            <v>006483-48061637-เซ็นทรัลพัฒนา</v>
          </cell>
          <cell r="F921">
            <v>327.10000000000002</v>
          </cell>
        </row>
        <row r="922">
          <cell r="C922" t="str">
            <v>45990-21915201</v>
          </cell>
          <cell r="D922">
            <v>999999</v>
          </cell>
          <cell r="E922" t="str">
            <v>006483-160/7731-เซ้นทรัลพัฒนา</v>
          </cell>
          <cell r="F922">
            <v>-140.19</v>
          </cell>
        </row>
        <row r="923">
          <cell r="C923" t="str">
            <v>00064-63050000</v>
          </cell>
          <cell r="D923">
            <v>999999</v>
          </cell>
          <cell r="E923" t="str">
            <v>006483-คุณนันทิมา-ค่าคูปองจอดรถประจำเดือน 06/05</v>
          </cell>
          <cell r="F923">
            <v>0.19</v>
          </cell>
        </row>
        <row r="924">
          <cell r="C924" t="str">
            <v>00064-60900000</v>
          </cell>
          <cell r="D924">
            <v>999999</v>
          </cell>
          <cell r="E924" t="str">
            <v>006483-คุณวันดี-ค่าล้างอัดรูปเก้าอี้</v>
          </cell>
          <cell r="F924">
            <v>47.89</v>
          </cell>
        </row>
        <row r="925">
          <cell r="C925" t="str">
            <v>45110-11630060</v>
          </cell>
          <cell r="D925">
            <v>999999</v>
          </cell>
          <cell r="E925" t="str">
            <v>006483-คุณวันดี-099/4943-ไพศาลโฟโต้ เอ็กซ์เพรส</v>
          </cell>
          <cell r="F925">
            <v>3.36</v>
          </cell>
        </row>
        <row r="926">
          <cell r="C926" t="str">
            <v>00064-61420000</v>
          </cell>
          <cell r="D926">
            <v>999999</v>
          </cell>
          <cell r="E926" t="str">
            <v>006483-คุณชวลิต-ค่าส่งจดหมายของอาจารย์ประภาศิริ EMS</v>
          </cell>
          <cell r="F926">
            <v>2150</v>
          </cell>
        </row>
        <row r="927">
          <cell r="C927" t="str">
            <v>00064-61420000</v>
          </cell>
          <cell r="D927">
            <v>999999</v>
          </cell>
          <cell r="E927" t="str">
            <v>006483-คุณชวลิต-ค่าส่งจดหมาย EMS วันที่ 23/06/05</v>
          </cell>
          <cell r="F927">
            <v>132</v>
          </cell>
        </row>
        <row r="928">
          <cell r="C928" t="str">
            <v>00062-62920000</v>
          </cell>
          <cell r="D928">
            <v>999999</v>
          </cell>
          <cell r="E928" t="str">
            <v>006483-คุณชวลิต-ค่าอากรแสมป์ ดวงละ 5 บาท 80 ดวง</v>
          </cell>
          <cell r="F928">
            <v>400</v>
          </cell>
        </row>
        <row r="929">
          <cell r="C929" t="str">
            <v>00064-61420000</v>
          </cell>
          <cell r="D929">
            <v>999999</v>
          </cell>
          <cell r="E929" t="str">
            <v>006483-คุณชวลิต-ค่าส่งจดหมาย  EMS วันที่ 24/06/05</v>
          </cell>
          <cell r="F929">
            <v>418</v>
          </cell>
        </row>
        <row r="930">
          <cell r="C930" t="str">
            <v>00025-62000000</v>
          </cell>
          <cell r="D930">
            <v>999999</v>
          </cell>
          <cell r="E930" t="str">
            <v>006484-คุณกิตติพงษ์-ค่ารถไป Cleck list ระบบสัญญาณ EAS ของสาขาเทพารักษ์,บางพลี,นวนคร,ริเวอร์พลาซ่า,ราม 2 ,บางปะกง,เอกมัย,หนองจอก,ลาดกระบัง 9,10,13-16,21-24/06/05</v>
          </cell>
          <cell r="F930">
            <v>605</v>
          </cell>
        </row>
        <row r="931">
          <cell r="C931" t="str">
            <v>99999-11630251</v>
          </cell>
          <cell r="D931" t="str">
            <v>040123</v>
          </cell>
          <cell r="E931" t="str">
            <v>29/6/2005-#6129</v>
          </cell>
          <cell r="F931">
            <v>38528.75</v>
          </cell>
        </row>
        <row r="934">
          <cell r="C934" t="str">
            <v>00004-62000000</v>
          </cell>
          <cell r="D934">
            <v>999999</v>
          </cell>
          <cell r="E934" t="str">
            <v>006484-คุณเพชรรัตน์-ค่ารถไป-กลัล FDCวันที่28-29/6/48ค่ารถไป-กลับบางนา-สำนักงานใหญ่และสาขารัตนาธิเบศเพื่อตรวจฉลากสินค้า</v>
          </cell>
          <cell r="F934">
            <v>1966</v>
          </cell>
        </row>
        <row r="935">
          <cell r="C935" t="str">
            <v>00004-61100000</v>
          </cell>
          <cell r="D935">
            <v>999999</v>
          </cell>
          <cell r="E935" t="str">
            <v>006484-คุณดพชรรัตน์-ค่าสินค้าตัวอย่างสำหรับทดลอง</v>
          </cell>
          <cell r="F935">
            <v>362.61</v>
          </cell>
        </row>
        <row r="936">
          <cell r="C936" t="str">
            <v>00004-61100000</v>
          </cell>
          <cell r="D936">
            <v>888888</v>
          </cell>
          <cell r="E936" t="str">
            <v>006484-คุณเพชรรัตน์-Unclme vat สินค้าตคัวอย่าง</v>
          </cell>
          <cell r="F936">
            <v>25.39</v>
          </cell>
        </row>
        <row r="937">
          <cell r="C937" t="str">
            <v>00003-62000000</v>
          </cell>
          <cell r="D937">
            <v>999999</v>
          </cell>
          <cell r="E937" t="str">
            <v>006485-คุณอลงกรณ์-ค่ารถจากRDไปSAเพื่อสำรวจพื้นที่กรณีอุบัติเหตุน้ำท่วมและจากสาขาSA ไปHOเพื่ออบรม คปอ.</v>
          </cell>
          <cell r="F937">
            <v>565</v>
          </cell>
        </row>
        <row r="938">
          <cell r="C938" t="str">
            <v>23200-60141250</v>
          </cell>
          <cell r="D938">
            <v>999999</v>
          </cell>
          <cell r="E938" t="str">
            <v>006486-คุณสุทัศน์-ค่ารักษาพยาบาล โรงพยาบาลนวมินทร์ เส้นเลือดหัวใจขาดเลือด</v>
          </cell>
          <cell r="F938">
            <v>11712</v>
          </cell>
        </row>
        <row r="939">
          <cell r="C939" t="str">
            <v>00044-11630251</v>
          </cell>
          <cell r="D939" t="str">
            <v>040123</v>
          </cell>
          <cell r="E939" t="str">
            <v>006486-คุณสุทัศน์-ค่ารักษาพยาบาล โรงพยาบาลนวมินทร์ เส้นเลือดหัวใจขาดเลือด</v>
          </cell>
          <cell r="F939">
            <v>-11712</v>
          </cell>
        </row>
        <row r="940">
          <cell r="C940" t="str">
            <v>00044-11630251</v>
          </cell>
          <cell r="D940" t="str">
            <v>040123</v>
          </cell>
          <cell r="E940" t="str">
            <v>006486-คุณสุทัศน์-ค่ารักษาพยาบาล โรงพยาบาลนวมินทร์ เส้นเลือดหัวใจขาดเลือด</v>
          </cell>
          <cell r="F940">
            <v>11712</v>
          </cell>
        </row>
        <row r="941">
          <cell r="C941" t="str">
            <v>00015-62100000</v>
          </cell>
          <cell r="D941">
            <v>999999</v>
          </cell>
          <cell r="E941" t="str">
            <v>006487-คุณรุ่งทิวา-ค่ารถแท็กซี่ไปกระทรวงสาธารณสุข ไปจังหวัดนนท์ ไปสรงประภา</v>
          </cell>
          <cell r="F941">
            <v>387</v>
          </cell>
        </row>
        <row r="942">
          <cell r="C942" t="str">
            <v>00015-62000000</v>
          </cell>
          <cell r="D942">
            <v>999999</v>
          </cell>
          <cell r="E942" t="str">
            <v>006488-คุณรุ่งทิวา-ค่ารถแท็กซี่ไปสรงประ-</v>
          </cell>
          <cell r="F942">
            <v>105</v>
          </cell>
        </row>
        <row r="943">
          <cell r="C943" t="str">
            <v>00021-60141250</v>
          </cell>
          <cell r="D943">
            <v>999999</v>
          </cell>
          <cell r="E943" t="str">
            <v>006489-คุณธัญญธร-ค่ารักษาพยาบาล รพ.จุฬาลงกรณ์ วันที่ 20/06/05</v>
          </cell>
          <cell r="F943">
            <v>870</v>
          </cell>
        </row>
        <row r="944">
          <cell r="C944" t="str">
            <v>82200-62000000</v>
          </cell>
          <cell r="D944">
            <v>999999</v>
          </cell>
          <cell r="E944" t="str">
            <v>006490-คุณอัศวิน-ค่ารถจากสำนักงานใหญ่ไป-กลับดีซี-เพื่อ Training-วันที่ 20-23/06/48</v>
          </cell>
          <cell r="F944">
            <v>2000</v>
          </cell>
        </row>
        <row r="945">
          <cell r="C945" t="str">
            <v>00044-11630251</v>
          </cell>
          <cell r="D945" t="str">
            <v>040123</v>
          </cell>
          <cell r="E945" t="str">
            <v>006490-คุณอัศวิน-ค่ารถจากสำนักงานใหญ่ไป-กลับดีซี-เพื่อ Training-วันที่ 20-23/06/48</v>
          </cell>
          <cell r="F945">
            <v>-2000</v>
          </cell>
        </row>
        <row r="946">
          <cell r="C946" t="str">
            <v>00044-11630251</v>
          </cell>
          <cell r="D946" t="str">
            <v>040123</v>
          </cell>
          <cell r="E946" t="str">
            <v>006490-คุณอัศวิน-ค่ารถจากสำนักงานใหญ่ไป-กลับดีซี-เพื่อ Training-วันที่ 20-23/06/48</v>
          </cell>
          <cell r="F946">
            <v>2000</v>
          </cell>
        </row>
        <row r="947">
          <cell r="C947" t="str">
            <v>82200-62000000</v>
          </cell>
          <cell r="D947">
            <v>999999</v>
          </cell>
          <cell r="E947" t="str">
            <v>006491-คุณศรัญญา-ค่ารถไป-กลับดีซีถึงสำนักงานใหญ่-เพื่อไปประชุม วันที่ 7,22,28/06/48</v>
          </cell>
          <cell r="F947">
            <v>1000</v>
          </cell>
        </row>
        <row r="948">
          <cell r="C948" t="str">
            <v>00044-11630251</v>
          </cell>
          <cell r="D948" t="str">
            <v>040123</v>
          </cell>
          <cell r="E948" t="str">
            <v>006491-คุณศรัญญา-ค่ารถไป-กลับดีซีถึงสำนักงานใหญ่-เพื่อไปประชุม วันที่ 7,22,28/06/48</v>
          </cell>
          <cell r="F948">
            <v>-1000</v>
          </cell>
        </row>
        <row r="949">
          <cell r="C949" t="str">
            <v>00044-11630251</v>
          </cell>
          <cell r="D949" t="str">
            <v>040123</v>
          </cell>
          <cell r="E949" t="str">
            <v>006491-คุณศรัญญา-ค่ารถไป-กลับดีซีถึงสำนักงานใหญ่-เพื่อไปประชุม วันที่ 7,22,28/06/48</v>
          </cell>
          <cell r="F949">
            <v>1000</v>
          </cell>
        </row>
        <row r="950">
          <cell r="C950" t="str">
            <v>00004-62000000</v>
          </cell>
          <cell r="D950">
            <v>999999</v>
          </cell>
          <cell r="E950" t="str">
            <v>006492-คุณกันย์ติมาต-ค่ารถไปกลับลาดพร้าว-ดีซี เพื่อตรวจคุณภาพกระเช้า,ค่ารถไปกลับโรงแรม แอมบาสเดอร์ สุขุมวิท 18</v>
          </cell>
          <cell r="F950">
            <v>520</v>
          </cell>
        </row>
        <row r="951">
          <cell r="C951" t="str">
            <v>00062-60141250</v>
          </cell>
          <cell r="D951">
            <v>999999</v>
          </cell>
          <cell r="E951" t="str">
            <v>006493-คุณฐิติวรรณ-ค่ารักษาพยาบาล รพ.พญาไท 2 วันที่ 28/06/05</v>
          </cell>
          <cell r="F951">
            <v>1176.75</v>
          </cell>
        </row>
        <row r="952">
          <cell r="C952" t="str">
            <v>00062-60141250</v>
          </cell>
          <cell r="D952">
            <v>999999</v>
          </cell>
          <cell r="E952" t="str">
            <v>006494-คุณรจนา-ค่ารักษาพยาบาล รพ.ลาดพร้าว วันที่ 27/06/05</v>
          </cell>
          <cell r="F952">
            <v>483</v>
          </cell>
        </row>
        <row r="953">
          <cell r="C953" t="str">
            <v>00006-61810050</v>
          </cell>
          <cell r="D953">
            <v>999999</v>
          </cell>
          <cell r="E953" t="str">
            <v>006495-K.Cheng Ching Mln -ค่าตั๋วเครื่องบิน HONGKONG-BANGKOK-HONGKONG</v>
          </cell>
          <cell r="F953">
            <v>40487.5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CA340-13DB-4D15-95E1-82841E0183D0}">
  <sheetPr codeName="Sheet14"/>
  <dimension ref="B1:J35"/>
  <sheetViews>
    <sheetView showGridLines="0" tabSelected="1" workbookViewId="0">
      <pane xSplit="19" ySplit="36" topLeftCell="T55" activePane="bottomRight" state="frozen"/>
      <selection activeCell="C5" sqref="C5:C6"/>
      <selection pane="topRight" activeCell="C5" sqref="C5:C6"/>
      <selection pane="bottomLeft" activeCell="C5" sqref="C5:C6"/>
      <selection pane="bottomRight" activeCell="G18" sqref="G18"/>
    </sheetView>
  </sheetViews>
  <sheetFormatPr defaultRowHeight="14" x14ac:dyDescent="0.3"/>
  <cols>
    <col min="2" max="2" width="15.58203125" customWidth="1"/>
    <col min="3" max="3" width="29.83203125" bestFit="1" customWidth="1"/>
    <col min="4" max="4" width="12.33203125" bestFit="1" customWidth="1"/>
    <col min="5" max="6" width="14.58203125" customWidth="1"/>
    <col min="7" max="7" width="13.75" customWidth="1"/>
  </cols>
  <sheetData>
    <row r="1" spans="2:10" x14ac:dyDescent="0.3">
      <c r="I1" s="60"/>
    </row>
    <row r="2" spans="2:10" ht="14.5" thickBot="1" x14ac:dyDescent="0.35">
      <c r="B2" s="1"/>
      <c r="C2" s="1"/>
      <c r="D2" s="1"/>
      <c r="E2" s="1"/>
      <c r="F2" s="1"/>
      <c r="G2" s="1"/>
      <c r="H2" s="1"/>
      <c r="I2" s="1"/>
    </row>
    <row r="3" spans="2:10" ht="15.5" x14ac:dyDescent="0.35">
      <c r="B3" s="59" t="s">
        <v>25</v>
      </c>
      <c r="C3" s="58"/>
      <c r="D3" s="58"/>
      <c r="E3" s="58"/>
      <c r="F3" s="58"/>
      <c r="G3" s="58"/>
      <c r="H3" s="58"/>
      <c r="I3" s="57"/>
    </row>
    <row r="4" spans="2:10" ht="14.5" x14ac:dyDescent="0.35">
      <c r="B4" s="52"/>
      <c r="C4" s="49"/>
      <c r="D4" s="49"/>
      <c r="E4" s="49"/>
      <c r="F4" s="49"/>
      <c r="G4" s="49"/>
      <c r="H4" s="49"/>
      <c r="I4" s="48"/>
    </row>
    <row r="5" spans="2:10" ht="14.5" x14ac:dyDescent="0.35">
      <c r="B5" s="52" t="s">
        <v>24</v>
      </c>
      <c r="C5" s="56" t="s">
        <v>23</v>
      </c>
      <c r="D5" s="49"/>
      <c r="E5" s="49"/>
      <c r="F5" s="55" t="s">
        <v>22</v>
      </c>
      <c r="G5" s="49"/>
      <c r="H5" s="49"/>
      <c r="I5" s="48"/>
    </row>
    <row r="6" spans="2:10" ht="14.5" x14ac:dyDescent="0.35">
      <c r="B6" s="52" t="s">
        <v>21</v>
      </c>
      <c r="C6" s="56" t="s">
        <v>20</v>
      </c>
      <c r="D6" s="49"/>
      <c r="E6" s="55"/>
      <c r="F6" s="55"/>
      <c r="G6" s="49"/>
      <c r="H6" s="49"/>
      <c r="I6" s="48"/>
    </row>
    <row r="7" spans="2:10" ht="14.5" x14ac:dyDescent="0.35">
      <c r="B7" s="52" t="s">
        <v>19</v>
      </c>
      <c r="C7" s="54">
        <v>21930052</v>
      </c>
      <c r="D7" s="50"/>
      <c r="E7" s="49"/>
      <c r="F7" s="49"/>
      <c r="G7" s="49"/>
      <c r="H7" s="49"/>
      <c r="I7" s="48"/>
    </row>
    <row r="8" spans="2:10" ht="14.5" x14ac:dyDescent="0.35">
      <c r="B8" s="52" t="s">
        <v>18</v>
      </c>
      <c r="C8" s="54" t="s">
        <v>17</v>
      </c>
      <c r="D8" s="50"/>
      <c r="E8" s="53"/>
      <c r="F8" s="53"/>
      <c r="G8" s="53"/>
      <c r="H8" s="49"/>
      <c r="I8" s="48"/>
    </row>
    <row r="9" spans="2:10" ht="14.5" x14ac:dyDescent="0.35">
      <c r="B9" s="52" t="s">
        <v>16</v>
      </c>
      <c r="C9" s="51">
        <v>46265</v>
      </c>
      <c r="D9" s="50"/>
      <c r="E9" s="49"/>
      <c r="F9" s="49"/>
      <c r="G9" s="49"/>
      <c r="H9" s="49"/>
      <c r="I9" s="48"/>
    </row>
    <row r="10" spans="2:10" ht="14.5" thickBot="1" x14ac:dyDescent="0.35">
      <c r="B10" s="25"/>
      <c r="C10" s="23"/>
      <c r="D10" s="23"/>
      <c r="E10" s="23"/>
      <c r="F10" s="23"/>
      <c r="G10" s="23"/>
      <c r="H10" s="23"/>
      <c r="I10" s="22"/>
    </row>
    <row r="11" spans="2:10" ht="14.5" thickBot="1" x14ac:dyDescent="0.35">
      <c r="B11" s="1"/>
      <c r="C11" s="1"/>
      <c r="D11" s="1"/>
      <c r="E11" s="1"/>
      <c r="F11" s="1"/>
      <c r="G11" s="1"/>
      <c r="H11" s="1"/>
      <c r="I11" s="1"/>
    </row>
    <row r="12" spans="2:10" x14ac:dyDescent="0.3">
      <c r="B12" s="47"/>
      <c r="C12" s="46"/>
      <c r="D12" s="46"/>
      <c r="E12" s="46"/>
      <c r="F12" s="46"/>
      <c r="G12" s="46"/>
      <c r="H12" s="46"/>
      <c r="I12" s="45"/>
    </row>
    <row r="13" spans="2:10" ht="14.5" x14ac:dyDescent="0.35">
      <c r="B13" s="28"/>
      <c r="C13" s="44" t="s">
        <v>15</v>
      </c>
      <c r="D13" s="43"/>
      <c r="E13" s="42" t="s">
        <v>14</v>
      </c>
      <c r="F13" s="42" t="s">
        <v>13</v>
      </c>
      <c r="G13" s="42" t="s">
        <v>7</v>
      </c>
      <c r="H13" s="41" t="s">
        <v>12</v>
      </c>
      <c r="I13" s="26"/>
    </row>
    <row r="14" spans="2:10" ht="14.5" x14ac:dyDescent="0.35">
      <c r="B14" s="28"/>
      <c r="C14" s="40"/>
      <c r="D14" s="39"/>
      <c r="E14" s="34"/>
      <c r="F14" s="34"/>
      <c r="G14" s="34"/>
      <c r="H14" s="33"/>
      <c r="I14" s="26"/>
    </row>
    <row r="15" spans="2:10" ht="14.5" x14ac:dyDescent="0.35">
      <c r="B15" s="28"/>
      <c r="C15" s="35"/>
      <c r="D15" s="27"/>
      <c r="E15" s="34"/>
      <c r="F15" s="34"/>
      <c r="G15" s="34"/>
      <c r="H15" s="33"/>
      <c r="I15" s="37"/>
      <c r="J15" s="36"/>
    </row>
    <row r="16" spans="2:10" ht="14.5" x14ac:dyDescent="0.35">
      <c r="B16" s="28"/>
      <c r="C16" s="35" t="s">
        <v>11</v>
      </c>
      <c r="D16" s="27"/>
      <c r="E16" s="108">
        <f>ROUND(SUMIF('TB 21930052'!$A$10:$A$1000000,"*Total*",'TB 21930052'!$H$10:$H$1000000),2)</f>
        <v>-1822374.2</v>
      </c>
      <c r="F16" s="108">
        <f>ROUND(SUMIF('TB 21930052'!$A$10:$A$1000000,"*Total*",'TB 21930052'!$I$10:$I$1000000),2)</f>
        <v>-1822374.2</v>
      </c>
      <c r="G16" s="108">
        <f>IFERROR($E16-$F16,"")</f>
        <v>0</v>
      </c>
      <c r="H16" s="33"/>
      <c r="I16" s="38" t="s">
        <v>10</v>
      </c>
      <c r="J16" s="36"/>
    </row>
    <row r="17" spans="2:10" ht="14.5" x14ac:dyDescent="0.35">
      <c r="B17" s="28"/>
      <c r="C17" s="35"/>
      <c r="D17" s="27"/>
      <c r="E17" s="108"/>
      <c r="F17" s="108"/>
      <c r="G17" s="108"/>
      <c r="H17" s="33"/>
      <c r="I17" s="37"/>
      <c r="J17" s="36"/>
    </row>
    <row r="18" spans="2:10" ht="14.5" x14ac:dyDescent="0.35">
      <c r="B18" s="28"/>
      <c r="C18" s="35" t="s">
        <v>9</v>
      </c>
      <c r="D18" s="27"/>
      <c r="E18" s="108">
        <v>0</v>
      </c>
      <c r="F18" s="108">
        <f>ROUND(SUMIF('TB 21930052'!$A$10:$A$1000000,"*Total*",'TB 21930052'!$K$10:$K$1000000),2)</f>
        <v>0</v>
      </c>
      <c r="G18" s="108">
        <f>IFERROR($E18-$F18,"")</f>
        <v>0</v>
      </c>
      <c r="H18" s="33"/>
      <c r="I18" s="37"/>
      <c r="J18" s="36"/>
    </row>
    <row r="19" spans="2:10" ht="14.5" x14ac:dyDescent="0.35">
      <c r="B19" s="28"/>
      <c r="C19" s="35"/>
      <c r="D19" s="27"/>
      <c r="E19" s="108"/>
      <c r="F19" s="108"/>
      <c r="G19" s="108"/>
      <c r="H19" s="33"/>
      <c r="I19" s="26"/>
      <c r="J19" s="36"/>
    </row>
    <row r="20" spans="2:10" ht="14.5" x14ac:dyDescent="0.35">
      <c r="B20" s="28"/>
      <c r="C20" s="35" t="s">
        <v>8</v>
      </c>
      <c r="D20" s="27"/>
      <c r="E20" s="108">
        <v>0</v>
      </c>
      <c r="F20" s="108">
        <f>ROUND(SUMIF('TB 21930052'!$A$10:$A$1000000,"*Total*",'TB 21930052'!$J$10:$J$1000000),2)</f>
        <v>0</v>
      </c>
      <c r="G20" s="108">
        <f>IFERROR($E20-$F20,"")</f>
        <v>0</v>
      </c>
      <c r="H20" s="33"/>
      <c r="I20" s="26"/>
      <c r="J20" s="36"/>
    </row>
    <row r="21" spans="2:10" ht="14.5" x14ac:dyDescent="0.35">
      <c r="B21" s="28"/>
      <c r="C21" s="35"/>
      <c r="D21" s="27"/>
      <c r="E21" s="108"/>
      <c r="F21" s="108"/>
      <c r="G21" s="108"/>
      <c r="H21" s="33"/>
      <c r="I21" s="26"/>
      <c r="J21" s="36"/>
    </row>
    <row r="22" spans="2:10" ht="14.5" x14ac:dyDescent="0.35">
      <c r="B22" s="28"/>
      <c r="C22" s="35"/>
      <c r="D22" s="27"/>
      <c r="E22" s="108"/>
      <c r="F22" s="108"/>
      <c r="G22" s="108"/>
      <c r="H22" s="33"/>
      <c r="I22" s="26"/>
    </row>
    <row r="23" spans="2:10" ht="15" thickBot="1" x14ac:dyDescent="0.4">
      <c r="B23" s="28"/>
      <c r="C23" s="32" t="s">
        <v>7</v>
      </c>
      <c r="D23" s="31"/>
      <c r="E23" s="30">
        <f>SUM(E14:E22)</f>
        <v>-1822374.2</v>
      </c>
      <c r="F23" s="30">
        <f>SUM(F14:F22)</f>
        <v>-1822374.2</v>
      </c>
      <c r="G23" s="30">
        <f>SUM(G14:G22)</f>
        <v>0</v>
      </c>
      <c r="H23" s="29"/>
      <c r="I23" s="26"/>
    </row>
    <row r="24" spans="2:10" ht="14.5" x14ac:dyDescent="0.35">
      <c r="B24" s="28"/>
      <c r="C24" s="27"/>
      <c r="D24" s="27"/>
      <c r="E24" s="109"/>
      <c r="F24" s="109"/>
      <c r="G24" s="109"/>
      <c r="H24" s="1"/>
      <c r="I24" s="26"/>
    </row>
    <row r="25" spans="2:10" ht="15" thickBot="1" x14ac:dyDescent="0.4">
      <c r="B25" s="25"/>
      <c r="C25" s="24"/>
      <c r="D25" s="24"/>
      <c r="E25" s="24"/>
      <c r="F25" s="24"/>
      <c r="G25" s="24"/>
      <c r="H25" s="23"/>
      <c r="I25" s="22"/>
    </row>
    <row r="26" spans="2:10" ht="14.5" x14ac:dyDescent="0.35">
      <c r="B26" s="20"/>
      <c r="C26" s="21"/>
      <c r="D26" s="21"/>
      <c r="E26" s="21"/>
      <c r="F26" s="21"/>
      <c r="G26" s="21"/>
      <c r="H26" s="20"/>
      <c r="I26" s="20"/>
    </row>
    <row r="27" spans="2:10" x14ac:dyDescent="0.3">
      <c r="B27" s="1"/>
      <c r="C27" s="1"/>
      <c r="D27" s="1"/>
      <c r="E27" s="1"/>
      <c r="F27" s="1"/>
      <c r="G27" s="1"/>
      <c r="H27" s="1"/>
      <c r="I27" s="1"/>
    </row>
    <row r="28" spans="2:10" ht="14.5" thickBot="1" x14ac:dyDescent="0.35">
      <c r="B28" s="1" t="s">
        <v>6</v>
      </c>
      <c r="C28" s="1"/>
      <c r="D28" s="1"/>
      <c r="E28" s="1"/>
      <c r="F28" s="1"/>
      <c r="G28" s="1"/>
      <c r="H28" s="1"/>
      <c r="I28" s="1"/>
    </row>
    <row r="29" spans="2:10" x14ac:dyDescent="0.3">
      <c r="B29" s="19"/>
      <c r="C29" s="17"/>
      <c r="D29" s="17"/>
      <c r="E29" s="18"/>
      <c r="F29" s="18"/>
      <c r="G29" s="18"/>
      <c r="H29" s="17"/>
      <c r="I29" s="16"/>
    </row>
    <row r="30" spans="2:10" x14ac:dyDescent="0.3">
      <c r="B30" s="9" t="s">
        <v>5</v>
      </c>
      <c r="C30" s="15"/>
      <c r="D30" s="11"/>
      <c r="E30" s="1"/>
      <c r="F30" s="11" t="s">
        <v>4</v>
      </c>
      <c r="G30" s="14"/>
      <c r="H30" s="14"/>
      <c r="I30" s="6"/>
    </row>
    <row r="31" spans="2:10" ht="14.5" x14ac:dyDescent="0.35">
      <c r="B31" s="9"/>
      <c r="C31" s="13" t="s">
        <v>3</v>
      </c>
      <c r="D31" s="11"/>
      <c r="E31" s="1"/>
      <c r="F31" s="11"/>
      <c r="G31" s="12"/>
      <c r="H31" s="12"/>
      <c r="I31" s="6"/>
      <c r="J31" t="s">
        <v>2</v>
      </c>
    </row>
    <row r="32" spans="2:10" x14ac:dyDescent="0.3">
      <c r="B32" s="9"/>
      <c r="C32" s="10"/>
      <c r="D32" s="11"/>
      <c r="E32" s="1"/>
      <c r="F32" s="11"/>
      <c r="G32" s="10"/>
      <c r="H32" s="10"/>
      <c r="I32" s="6"/>
      <c r="J32" t="s">
        <v>1</v>
      </c>
    </row>
    <row r="33" spans="2:9" x14ac:dyDescent="0.3">
      <c r="B33" s="9" t="s">
        <v>0</v>
      </c>
      <c r="C33" s="7"/>
      <c r="D33" s="8"/>
      <c r="E33" s="1"/>
      <c r="F33" s="8" t="s">
        <v>0</v>
      </c>
      <c r="G33" s="7"/>
      <c r="H33" s="7"/>
      <c r="I33" s="6"/>
    </row>
    <row r="34" spans="2:9" ht="14.5" thickBot="1" x14ac:dyDescent="0.35">
      <c r="B34" s="5"/>
      <c r="C34" s="3"/>
      <c r="D34" s="3"/>
      <c r="E34" s="4"/>
      <c r="F34" s="4"/>
      <c r="G34" s="4"/>
      <c r="H34" s="3"/>
      <c r="I34" s="2"/>
    </row>
    <row r="35" spans="2:9" x14ac:dyDescent="0.3">
      <c r="B35" s="1"/>
      <c r="C35" s="1"/>
      <c r="D35" s="1"/>
      <c r="E35" s="1"/>
      <c r="F35" s="1"/>
      <c r="G35" s="1"/>
      <c r="H35" s="1"/>
      <c r="I35" s="1"/>
    </row>
  </sheetData>
  <mergeCells count="1">
    <mergeCell ref="B3:I3"/>
  </mergeCells>
  <conditionalFormatting sqref="E16:G16">
    <cfRule type="cellIs" dxfId="2" priority="3" operator="lessThan">
      <formula>0</formula>
    </cfRule>
  </conditionalFormatting>
  <conditionalFormatting sqref="E23:G23">
    <cfRule type="cellIs" dxfId="1" priority="2" operator="lessThan">
      <formula>0</formula>
    </cfRule>
  </conditionalFormatting>
  <conditionalFormatting sqref="E18:G18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D66B-8090-468E-AA24-FEDB866F9679}">
  <sheetPr codeName="Sheet15"/>
  <dimension ref="A1:N25"/>
  <sheetViews>
    <sheetView showGridLines="0" zoomScale="90" zoomScaleNormal="90" workbookViewId="0">
      <pane ySplit="9" topLeftCell="A10" activePane="bottomLeft" state="frozen"/>
      <selection activeCell="G18" sqref="G18"/>
      <selection pane="bottomLeft" activeCell="G18" sqref="G18"/>
    </sheetView>
  </sheetViews>
  <sheetFormatPr defaultRowHeight="14" x14ac:dyDescent="0.3"/>
  <cols>
    <col min="1" max="1" width="13.58203125" customWidth="1"/>
    <col min="2" max="2" width="9.83203125" customWidth="1"/>
    <col min="3" max="3" width="11.25" customWidth="1"/>
    <col min="4" max="4" width="10.25" customWidth="1"/>
    <col min="5" max="5" width="21.58203125" customWidth="1"/>
    <col min="6" max="6" width="17.08203125" customWidth="1"/>
    <col min="7" max="7" width="15.25" bestFit="1" customWidth="1"/>
    <col min="8" max="9" width="15.25" customWidth="1"/>
    <col min="10" max="10" width="10.33203125" bestFit="1" customWidth="1"/>
    <col min="11" max="11" width="11.1640625" bestFit="1" customWidth="1"/>
    <col min="12" max="12" width="15.25" bestFit="1" customWidth="1"/>
    <col min="13" max="13" width="11.58203125" bestFit="1" customWidth="1"/>
    <col min="14" max="14" width="26.1640625" customWidth="1"/>
  </cols>
  <sheetData>
    <row r="1" spans="1:14" ht="14.5" x14ac:dyDescent="0.35">
      <c r="A1" s="62" t="s">
        <v>25</v>
      </c>
      <c r="B1" s="62"/>
      <c r="C1" s="62"/>
      <c r="D1" s="62"/>
      <c r="E1" s="62"/>
      <c r="F1" s="62"/>
      <c r="G1" s="61"/>
      <c r="H1" s="64"/>
    </row>
    <row r="2" spans="1:14" ht="14.5" x14ac:dyDescent="0.35">
      <c r="A2" s="62"/>
      <c r="B2" s="62"/>
      <c r="C2" s="62"/>
      <c r="D2" s="62"/>
      <c r="E2" s="62"/>
      <c r="F2" s="62"/>
      <c r="G2" s="61"/>
      <c r="H2" s="63"/>
    </row>
    <row r="3" spans="1:14" ht="14.5" x14ac:dyDescent="0.35">
      <c r="A3" s="62" t="s">
        <v>24</v>
      </c>
      <c r="B3" s="56" t="s">
        <v>23</v>
      </c>
      <c r="C3" s="62"/>
      <c r="D3" s="62"/>
      <c r="E3" s="62"/>
      <c r="F3" s="62"/>
      <c r="G3" s="61"/>
      <c r="H3" s="61"/>
    </row>
    <row r="4" spans="1:14" ht="14.5" x14ac:dyDescent="0.35">
      <c r="A4" s="62" t="s">
        <v>21</v>
      </c>
      <c r="B4" s="56" t="s">
        <v>20</v>
      </c>
      <c r="C4" s="62"/>
      <c r="D4" s="62"/>
      <c r="E4" s="62"/>
      <c r="F4" s="62"/>
      <c r="G4" s="61"/>
      <c r="H4" s="61"/>
    </row>
    <row r="5" spans="1:14" ht="14.5" x14ac:dyDescent="0.35">
      <c r="A5" s="62" t="s">
        <v>19</v>
      </c>
      <c r="B5" s="54">
        <v>21930052</v>
      </c>
      <c r="C5" s="62"/>
      <c r="D5" s="62"/>
      <c r="E5" s="62"/>
      <c r="F5" s="62"/>
      <c r="G5" s="61"/>
      <c r="H5" s="61"/>
    </row>
    <row r="6" spans="1:14" ht="14.5" x14ac:dyDescent="0.35">
      <c r="A6" s="62" t="s">
        <v>18</v>
      </c>
      <c r="B6" s="54" t="s">
        <v>17</v>
      </c>
      <c r="C6" s="62"/>
      <c r="D6" s="62"/>
      <c r="E6" s="62"/>
      <c r="F6" s="62"/>
      <c r="G6" s="61"/>
      <c r="H6" s="61"/>
    </row>
    <row r="7" spans="1:14" ht="14.5" x14ac:dyDescent="0.35">
      <c r="A7" s="62" t="s">
        <v>16</v>
      </c>
      <c r="B7" s="51">
        <v>46265</v>
      </c>
      <c r="C7" s="62"/>
      <c r="D7" s="62"/>
      <c r="E7" s="62"/>
      <c r="F7" s="62"/>
      <c r="G7" s="61"/>
      <c r="H7" s="61"/>
    </row>
    <row r="8" spans="1:14" ht="14.5" x14ac:dyDescent="0.35">
      <c r="A8" s="62"/>
      <c r="B8" s="62"/>
      <c r="C8" s="62"/>
      <c r="D8" s="62"/>
      <c r="E8" s="62"/>
      <c r="F8" s="62"/>
      <c r="G8" s="61"/>
      <c r="H8" s="61"/>
    </row>
    <row r="9" spans="1:14" ht="27.5" customHeight="1" x14ac:dyDescent="0.3">
      <c r="A9" s="93" t="s">
        <v>56</v>
      </c>
      <c r="B9" s="93" t="s">
        <v>55</v>
      </c>
      <c r="C9" s="93" t="s">
        <v>54</v>
      </c>
      <c r="D9" s="93" t="s">
        <v>53</v>
      </c>
      <c r="E9" s="93" t="s">
        <v>52</v>
      </c>
      <c r="F9" s="93" t="s">
        <v>51</v>
      </c>
      <c r="G9" s="94" t="s">
        <v>50</v>
      </c>
      <c r="H9" s="94" t="s">
        <v>49</v>
      </c>
      <c r="I9" s="92" t="s">
        <v>157</v>
      </c>
      <c r="J9" s="92" t="s">
        <v>158</v>
      </c>
      <c r="K9" s="92" t="s">
        <v>159</v>
      </c>
      <c r="L9" s="92" t="s">
        <v>160</v>
      </c>
      <c r="M9" s="92" t="s">
        <v>161</v>
      </c>
      <c r="N9" s="92" t="s">
        <v>162</v>
      </c>
    </row>
    <row r="10" spans="1:14" x14ac:dyDescent="0.3">
      <c r="A10" s="95" t="s">
        <v>29</v>
      </c>
      <c r="B10" s="95" t="s">
        <v>33</v>
      </c>
      <c r="C10" s="95" t="s">
        <v>32</v>
      </c>
      <c r="D10" s="95" t="s">
        <v>48</v>
      </c>
      <c r="E10" s="96" t="s">
        <v>27</v>
      </c>
      <c r="F10" s="105">
        <v>0</v>
      </c>
      <c r="G10" s="105">
        <v>-50998.78</v>
      </c>
      <c r="H10" s="105">
        <v>-50998.78</v>
      </c>
      <c r="I10" s="105">
        <f>-SUMIFS('Accounts Payable Trial Balance'!$I$20:$I$1000000,'Accounts Payable Trial Balance'!$A$20:$A$1000000,$A10,'Accounts Payable Trial Balance'!$C$20:$C$1000000,$D10)</f>
        <v>-50998.78</v>
      </c>
      <c r="J10" s="105"/>
      <c r="K10" s="105"/>
      <c r="L10" s="105">
        <f>SUM($I10:$K10)</f>
        <v>-50998.78</v>
      </c>
      <c r="M10" s="105">
        <f>+$H10-$L10</f>
        <v>0</v>
      </c>
      <c r="N10" s="97"/>
    </row>
    <row r="11" spans="1:14" x14ac:dyDescent="0.3">
      <c r="A11" s="66" t="s">
        <v>29</v>
      </c>
      <c r="B11" s="66" t="s">
        <v>33</v>
      </c>
      <c r="C11" s="66" t="s">
        <v>32</v>
      </c>
      <c r="D11" s="66" t="s">
        <v>47</v>
      </c>
      <c r="E11" s="67" t="s">
        <v>27</v>
      </c>
      <c r="F11" s="90">
        <v>0</v>
      </c>
      <c r="G11" s="90">
        <v>-1262.5</v>
      </c>
      <c r="H11" s="90">
        <v>-1262.5</v>
      </c>
      <c r="I11" s="90">
        <f>-SUMIFS('Accounts Payable Trial Balance'!$I$20:$I$1000000,'Accounts Payable Trial Balance'!$A$20:$A$1000000,$A11,'Accounts Payable Trial Balance'!$C$20:$C$1000000,$D11)</f>
        <v>-1262.5</v>
      </c>
      <c r="J11" s="90"/>
      <c r="K11" s="90"/>
      <c r="L11" s="90">
        <f>SUM($I11:$K11)</f>
        <v>-1262.5</v>
      </c>
      <c r="M11" s="90">
        <f>+$H11-$L11</f>
        <v>0</v>
      </c>
      <c r="N11" s="98"/>
    </row>
    <row r="12" spans="1:14" x14ac:dyDescent="0.3">
      <c r="A12" s="66" t="s">
        <v>29</v>
      </c>
      <c r="B12" s="66" t="s">
        <v>33</v>
      </c>
      <c r="C12" s="66" t="s">
        <v>32</v>
      </c>
      <c r="D12" s="66" t="s">
        <v>46</v>
      </c>
      <c r="E12" s="67" t="s">
        <v>27</v>
      </c>
      <c r="F12" s="90">
        <v>-57.5</v>
      </c>
      <c r="G12" s="90">
        <v>10.51</v>
      </c>
      <c r="H12" s="90">
        <v>-46.99</v>
      </c>
      <c r="I12" s="90">
        <f>-SUMIFS('Accounts Payable Trial Balance'!$I$20:$I$1000000,'Accounts Payable Trial Balance'!$A$20:$A$1000000,$A12,'Accounts Payable Trial Balance'!$C$20:$C$1000000,$D12)</f>
        <v>-46.989999999999995</v>
      </c>
      <c r="J12" s="90"/>
      <c r="K12" s="90"/>
      <c r="L12" s="90">
        <f>SUM($I12:$K12)</f>
        <v>-46.989999999999995</v>
      </c>
      <c r="M12" s="90">
        <f>+$H12-$L12</f>
        <v>0</v>
      </c>
      <c r="N12" s="98"/>
    </row>
    <row r="13" spans="1:14" x14ac:dyDescent="0.3">
      <c r="A13" s="66" t="s">
        <v>29</v>
      </c>
      <c r="B13" s="66" t="s">
        <v>33</v>
      </c>
      <c r="C13" s="66" t="s">
        <v>32</v>
      </c>
      <c r="D13" s="66" t="s">
        <v>45</v>
      </c>
      <c r="E13" s="67" t="s">
        <v>27</v>
      </c>
      <c r="F13" s="90">
        <v>-5018.91</v>
      </c>
      <c r="G13" s="90">
        <v>-9721.58</v>
      </c>
      <c r="H13" s="90">
        <v>-14740.49</v>
      </c>
      <c r="I13" s="90">
        <f>-SUMIFS('Accounts Payable Trial Balance'!$I$20:$I$1000000,'Accounts Payable Trial Balance'!$A$20:$A$1000000,$A13,'Accounts Payable Trial Balance'!$C$20:$C$1000000,$D13)</f>
        <v>-14740.49</v>
      </c>
      <c r="J13" s="90"/>
      <c r="K13" s="90"/>
      <c r="L13" s="90">
        <f>SUM($I13:$K13)</f>
        <v>-14740.49</v>
      </c>
      <c r="M13" s="90">
        <f>+$H13-$L13</f>
        <v>0</v>
      </c>
      <c r="N13" s="98"/>
    </row>
    <row r="14" spans="1:14" x14ac:dyDescent="0.3">
      <c r="A14" s="66" t="s">
        <v>29</v>
      </c>
      <c r="B14" s="66" t="s">
        <v>33</v>
      </c>
      <c r="C14" s="66" t="s">
        <v>32</v>
      </c>
      <c r="D14" s="66" t="s">
        <v>44</v>
      </c>
      <c r="E14" s="67" t="s">
        <v>27</v>
      </c>
      <c r="F14" s="90">
        <v>-144904.32000000001</v>
      </c>
      <c r="G14" s="90">
        <v>144904.32000000001</v>
      </c>
      <c r="H14" s="90">
        <v>0</v>
      </c>
      <c r="I14" s="90">
        <f>-SUMIFS('Accounts Payable Trial Balance'!$I$20:$I$1000000,'Accounts Payable Trial Balance'!$A$20:$A$1000000,$A14,'Accounts Payable Trial Balance'!$C$20:$C$1000000,$D14)</f>
        <v>0</v>
      </c>
      <c r="J14" s="90"/>
      <c r="K14" s="90"/>
      <c r="L14" s="90">
        <f>SUM($I14:$K14)</f>
        <v>0</v>
      </c>
      <c r="M14" s="90">
        <f>+$H14-$L14</f>
        <v>0</v>
      </c>
      <c r="N14" s="98"/>
    </row>
    <row r="15" spans="1:14" x14ac:dyDescent="0.3">
      <c r="A15" s="66" t="s">
        <v>29</v>
      </c>
      <c r="B15" s="66" t="s">
        <v>33</v>
      </c>
      <c r="C15" s="66" t="s">
        <v>32</v>
      </c>
      <c r="D15" s="66" t="s">
        <v>43</v>
      </c>
      <c r="E15" s="67" t="s">
        <v>27</v>
      </c>
      <c r="F15" s="90">
        <v>-35000</v>
      </c>
      <c r="G15" s="90">
        <v>0</v>
      </c>
      <c r="H15" s="90">
        <v>-35000</v>
      </c>
      <c r="I15" s="90">
        <f>-SUMIFS('Accounts Payable Trial Balance'!$I$20:$I$1000000,'Accounts Payable Trial Balance'!$A$20:$A$1000000,$A15,'Accounts Payable Trial Balance'!$C$20:$C$1000000,$D15)</f>
        <v>-35000</v>
      </c>
      <c r="J15" s="90"/>
      <c r="K15" s="90"/>
      <c r="L15" s="90">
        <f>SUM($I15:$K15)</f>
        <v>-35000</v>
      </c>
      <c r="M15" s="90">
        <f>+$H15-$L15</f>
        <v>0</v>
      </c>
      <c r="N15" s="98"/>
    </row>
    <row r="16" spans="1:14" x14ac:dyDescent="0.3">
      <c r="A16" s="66" t="s">
        <v>29</v>
      </c>
      <c r="B16" s="66" t="s">
        <v>33</v>
      </c>
      <c r="C16" s="66" t="s">
        <v>32</v>
      </c>
      <c r="D16" s="66" t="s">
        <v>42</v>
      </c>
      <c r="E16" s="67" t="s">
        <v>27</v>
      </c>
      <c r="F16" s="90">
        <v>-1212.6099999999999</v>
      </c>
      <c r="G16" s="90">
        <v>906.22</v>
      </c>
      <c r="H16" s="90">
        <v>-306.39</v>
      </c>
      <c r="I16" s="90">
        <f>-SUMIFS('Accounts Payable Trial Balance'!$I$20:$I$1000000,'Accounts Payable Trial Balance'!$A$20:$A$1000000,$A16,'Accounts Payable Trial Balance'!$C$20:$C$1000000,$D16)</f>
        <v>-306.39</v>
      </c>
      <c r="J16" s="90"/>
      <c r="K16" s="90"/>
      <c r="L16" s="90">
        <f>SUM($I16:$K16)</f>
        <v>-306.39</v>
      </c>
      <c r="M16" s="90">
        <f>+$H16-$L16</f>
        <v>0</v>
      </c>
      <c r="N16" s="98"/>
    </row>
    <row r="17" spans="1:14" x14ac:dyDescent="0.3">
      <c r="A17" s="66" t="s">
        <v>29</v>
      </c>
      <c r="B17" s="66" t="s">
        <v>33</v>
      </c>
      <c r="C17" s="66" t="s">
        <v>32</v>
      </c>
      <c r="D17" s="66" t="s">
        <v>41</v>
      </c>
      <c r="E17" s="67" t="s">
        <v>27</v>
      </c>
      <c r="F17" s="90">
        <v>0</v>
      </c>
      <c r="G17" s="90">
        <v>-1174288.1100000001</v>
      </c>
      <c r="H17" s="90">
        <v>-1174288.1100000001</v>
      </c>
      <c r="I17" s="90">
        <f>-SUMIFS('Accounts Payable Trial Balance'!$I$20:$I$1000000,'Accounts Payable Trial Balance'!$A$20:$A$1000000,$A17,'Accounts Payable Trial Balance'!$C$20:$C$1000000,$D17)</f>
        <v>-1174288.1100000001</v>
      </c>
      <c r="J17" s="90"/>
      <c r="K17" s="90"/>
      <c r="L17" s="90">
        <f>SUM($I17:$K17)</f>
        <v>-1174288.1100000001</v>
      </c>
      <c r="M17" s="90">
        <f>+$H17-$L17</f>
        <v>0</v>
      </c>
      <c r="N17" s="98"/>
    </row>
    <row r="18" spans="1:14" x14ac:dyDescent="0.3">
      <c r="A18" s="66" t="s">
        <v>29</v>
      </c>
      <c r="B18" s="66" t="s">
        <v>33</v>
      </c>
      <c r="C18" s="66" t="s">
        <v>32</v>
      </c>
      <c r="D18" s="66" t="s">
        <v>40</v>
      </c>
      <c r="E18" s="67" t="s">
        <v>27</v>
      </c>
      <c r="F18" s="90">
        <v>-15172.6</v>
      </c>
      <c r="G18" s="90">
        <v>15172.6</v>
      </c>
      <c r="H18" s="90">
        <v>0</v>
      </c>
      <c r="I18" s="90">
        <f>-SUMIFS('Accounts Payable Trial Balance'!$I$20:$I$1000000,'Accounts Payable Trial Balance'!$A$20:$A$1000000,$A18,'Accounts Payable Trial Balance'!$C$20:$C$1000000,$D18)</f>
        <v>0</v>
      </c>
      <c r="J18" s="90"/>
      <c r="K18" s="90"/>
      <c r="L18" s="90">
        <f>SUM($I18:$K18)</f>
        <v>0</v>
      </c>
      <c r="M18" s="90">
        <f>+$H18-$L18</f>
        <v>0</v>
      </c>
      <c r="N18" s="98"/>
    </row>
    <row r="19" spans="1:14" x14ac:dyDescent="0.3">
      <c r="A19" s="99" t="s">
        <v>29</v>
      </c>
      <c r="B19" s="100">
        <v>99999</v>
      </c>
      <c r="C19" s="99">
        <v>21930052</v>
      </c>
      <c r="D19" s="99" t="s">
        <v>30</v>
      </c>
      <c r="E19" s="101" t="s">
        <v>27</v>
      </c>
      <c r="F19" s="106">
        <v>0</v>
      </c>
      <c r="G19" s="106">
        <v>0</v>
      </c>
      <c r="H19" s="106">
        <v>0</v>
      </c>
      <c r="I19" s="106">
        <f>-SUMIFS('Accounts Payable Trial Balance'!$I$20:$I$1000000,'Accounts Payable Trial Balance'!$A$20:$A$1000000,$A19,'Accounts Payable Trial Balance'!$C$20:$C$1000000,$D19)</f>
        <v>0</v>
      </c>
      <c r="J19" s="106"/>
      <c r="K19" s="106"/>
      <c r="L19" s="106">
        <f>SUM($I19:$K19)</f>
        <v>0</v>
      </c>
      <c r="M19" s="106">
        <f>+$H19-$L19</f>
        <v>0</v>
      </c>
      <c r="N19" s="102" t="s">
        <v>26</v>
      </c>
    </row>
    <row r="20" spans="1:14" x14ac:dyDescent="0.3">
      <c r="A20" s="99" t="s">
        <v>29</v>
      </c>
      <c r="B20" s="100">
        <v>99999</v>
      </c>
      <c r="C20" s="99">
        <v>21930052</v>
      </c>
      <c r="D20" s="99" t="s">
        <v>28</v>
      </c>
      <c r="E20" s="101" t="s">
        <v>27</v>
      </c>
      <c r="F20" s="106">
        <v>0</v>
      </c>
      <c r="G20" s="106">
        <v>0</v>
      </c>
      <c r="H20" s="106">
        <v>0</v>
      </c>
      <c r="I20" s="106">
        <f>-SUMIFS('Accounts Payable Trial Balance'!$I$20:$I$1000000,'Accounts Payable Trial Balance'!$A$20:$A$1000000,$A20,'Accounts Payable Trial Balance'!$C$20:$C$1000000,$D20)</f>
        <v>0</v>
      </c>
      <c r="J20" s="106"/>
      <c r="K20" s="106"/>
      <c r="L20" s="106">
        <f>SUM($I20:$K20)</f>
        <v>0</v>
      </c>
      <c r="M20" s="106">
        <f>+$H20-$L20</f>
        <v>0</v>
      </c>
      <c r="N20" s="102" t="s">
        <v>26</v>
      </c>
    </row>
    <row r="21" spans="1:14" x14ac:dyDescent="0.3">
      <c r="A21" s="66" t="s">
        <v>39</v>
      </c>
      <c r="B21" s="66" t="s">
        <v>33</v>
      </c>
      <c r="C21" s="66" t="s">
        <v>32</v>
      </c>
      <c r="D21" s="66" t="s">
        <v>28</v>
      </c>
      <c r="E21" s="67" t="s">
        <v>27</v>
      </c>
      <c r="F21" s="90">
        <v>-76130.710000000006</v>
      </c>
      <c r="G21" s="90">
        <v>63727.78</v>
      </c>
      <c r="H21" s="90">
        <v>-12402.93</v>
      </c>
      <c r="I21" s="90">
        <f>-SUMIFS('Accounts Payable Trial Balance'!$I$20:$I$1000000,'Accounts Payable Trial Balance'!$A$20:$A$1000000,$A21,'Accounts Payable Trial Balance'!$C$20:$C$1000000,$D21)</f>
        <v>-12402.93</v>
      </c>
      <c r="J21" s="90"/>
      <c r="K21" s="90"/>
      <c r="L21" s="90">
        <f>SUM($I21:$K21)</f>
        <v>-12402.93</v>
      </c>
      <c r="M21" s="90">
        <f>+$H21-$L21</f>
        <v>0</v>
      </c>
      <c r="N21" s="98"/>
    </row>
    <row r="22" spans="1:14" x14ac:dyDescent="0.3">
      <c r="A22" s="66" t="s">
        <v>38</v>
      </c>
      <c r="B22" s="66" t="s">
        <v>33</v>
      </c>
      <c r="C22" s="66" t="s">
        <v>32</v>
      </c>
      <c r="D22" s="66" t="s">
        <v>37</v>
      </c>
      <c r="E22" s="67" t="s">
        <v>27</v>
      </c>
      <c r="F22" s="90">
        <v>-229460.75</v>
      </c>
      <c r="G22" s="90">
        <v>-67106.52</v>
      </c>
      <c r="H22" s="90">
        <v>-296567.27</v>
      </c>
      <c r="I22" s="90">
        <f>-SUMIFS('Accounts Payable Trial Balance'!$I$20:$I$1000000,'Accounts Payable Trial Balance'!$A$20:$A$1000000,$A22,'Accounts Payable Trial Balance'!$C$20:$C$1000000,$D22)</f>
        <v>-296567.27</v>
      </c>
      <c r="J22" s="90"/>
      <c r="K22" s="90"/>
      <c r="L22" s="90">
        <f>SUM($I22:$K22)</f>
        <v>-296567.27</v>
      </c>
      <c r="M22" s="90">
        <f>+$H22-$L22</f>
        <v>0</v>
      </c>
      <c r="N22" s="98"/>
    </row>
    <row r="23" spans="1:14" x14ac:dyDescent="0.3">
      <c r="A23" s="66" t="s">
        <v>36</v>
      </c>
      <c r="B23" s="66" t="s">
        <v>33</v>
      </c>
      <c r="C23" s="66" t="s">
        <v>32</v>
      </c>
      <c r="D23" s="66" t="s">
        <v>35</v>
      </c>
      <c r="E23" s="67" t="s">
        <v>27</v>
      </c>
      <c r="F23" s="90">
        <v>-147287.63</v>
      </c>
      <c r="G23" s="90">
        <v>64026.83</v>
      </c>
      <c r="H23" s="90">
        <v>-83260.800000000003</v>
      </c>
      <c r="I23" s="90">
        <f>-SUMIFS('Accounts Payable Trial Balance'!$I$20:$I$1000000,'Accounts Payable Trial Balance'!$A$20:$A$1000000,$A23,'Accounts Payable Trial Balance'!$C$20:$C$1000000,$D23)</f>
        <v>-83260.800000000003</v>
      </c>
      <c r="J23" s="90"/>
      <c r="K23" s="90"/>
      <c r="L23" s="90">
        <f>SUM($I23:$K23)</f>
        <v>-83260.800000000003</v>
      </c>
      <c r="M23" s="90">
        <f>+$H23-$L23</f>
        <v>0</v>
      </c>
      <c r="N23" s="98"/>
    </row>
    <row r="24" spans="1:14" x14ac:dyDescent="0.3">
      <c r="A24" s="71" t="s">
        <v>34</v>
      </c>
      <c r="B24" s="71" t="s">
        <v>33</v>
      </c>
      <c r="C24" s="71" t="s">
        <v>32</v>
      </c>
      <c r="D24" s="71" t="s">
        <v>31</v>
      </c>
      <c r="E24" s="72" t="s">
        <v>27</v>
      </c>
      <c r="F24" s="107">
        <v>-153284.1</v>
      </c>
      <c r="G24" s="107">
        <v>-215.84</v>
      </c>
      <c r="H24" s="107">
        <v>-153499.94</v>
      </c>
      <c r="I24" s="107">
        <f>-SUMIFS('Accounts Payable Trial Balance'!$I$20:$I$1000000,'Accounts Payable Trial Balance'!$A$20:$A$1000000,$A24,'Accounts Payable Trial Balance'!$C$20:$C$1000000,$D24)</f>
        <v>-153499.94</v>
      </c>
      <c r="J24" s="107"/>
      <c r="K24" s="107"/>
      <c r="L24" s="107">
        <f>SUM($I24:$K24)</f>
        <v>-153499.94</v>
      </c>
      <c r="M24" s="107">
        <f>+$H24-$L24</f>
        <v>0</v>
      </c>
      <c r="N24" s="104"/>
    </row>
    <row r="25" spans="1:14" x14ac:dyDescent="0.3">
      <c r="A25" s="103" t="s">
        <v>163</v>
      </c>
      <c r="B25" s="82"/>
      <c r="C25" s="82"/>
      <c r="D25" s="82"/>
      <c r="E25" s="82"/>
      <c r="F25" s="91">
        <f>SUM(F$10:F24)</f>
        <v>-807529.13</v>
      </c>
      <c r="G25" s="91">
        <f>SUM(G$10:G24)</f>
        <v>-1014845.0700000001</v>
      </c>
      <c r="H25" s="91">
        <f>SUM(H$10:H24)</f>
        <v>-1822374.2</v>
      </c>
      <c r="I25" s="91">
        <f>SUM(I$10:I24)</f>
        <v>-1822374.2</v>
      </c>
      <c r="J25" s="91">
        <f>SUM(J$10:J24)</f>
        <v>0</v>
      </c>
      <c r="K25" s="91">
        <f>SUM(K$10:K24)</f>
        <v>0</v>
      </c>
      <c r="L25" s="91">
        <f>SUM(L$10:L24)</f>
        <v>-1822374.2</v>
      </c>
      <c r="M25" s="91">
        <f>SUM(M$10:M24)</f>
        <v>0</v>
      </c>
      <c r="N25" s="86"/>
    </row>
  </sheetData>
  <sortState xmlns:xlrd2="http://schemas.microsoft.com/office/spreadsheetml/2017/richdata2" ref="A10:N24">
    <sortCondition ref="A10:A24"/>
  </sortState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34138-E1EC-4600-B8C7-E2D67F4BA255}">
  <sheetPr codeName="Sheet18"/>
  <dimension ref="A1:M54"/>
  <sheetViews>
    <sheetView showGridLines="0" zoomScale="70" zoomScaleNormal="70" workbookViewId="0">
      <pane ySplit="19" topLeftCell="A20" activePane="bottomLeft" state="frozen"/>
      <selection activeCell="G18" sqref="G18"/>
      <selection pane="bottomLeft" activeCell="A55" sqref="A55"/>
    </sheetView>
  </sheetViews>
  <sheetFormatPr defaultColWidth="9" defaultRowHeight="14.5" outlineLevelRow="2" x14ac:dyDescent="0.35"/>
  <cols>
    <col min="1" max="1" width="15.08203125" customWidth="1"/>
    <col min="2" max="2" width="9.75" bestFit="1" customWidth="1"/>
    <col min="4" max="4" width="61.08203125" bestFit="1" customWidth="1"/>
    <col min="5" max="5" width="21.33203125" bestFit="1" customWidth="1"/>
    <col min="6" max="6" width="13.75" bestFit="1" customWidth="1"/>
    <col min="8" max="8" width="17.08203125" customWidth="1"/>
    <col min="9" max="9" width="20.08203125" bestFit="1" customWidth="1"/>
    <col min="10" max="10" width="47.33203125" bestFit="1" customWidth="1"/>
    <col min="11" max="11" width="11.5" bestFit="1" customWidth="1"/>
    <col min="14" max="16384" width="9" style="62"/>
  </cols>
  <sheetData>
    <row r="1" spans="1:10" x14ac:dyDescent="0.35">
      <c r="A1" t="s">
        <v>150</v>
      </c>
      <c r="B1" s="62"/>
      <c r="C1" s="62"/>
      <c r="D1" s="62"/>
      <c r="E1" s="62"/>
      <c r="F1" s="62"/>
      <c r="G1" s="62"/>
      <c r="H1" s="62"/>
      <c r="I1" s="62"/>
      <c r="J1" s="62"/>
    </row>
    <row r="2" spans="1:10" x14ac:dyDescent="0.35">
      <c r="B2" s="62"/>
      <c r="C2" s="62"/>
      <c r="D2" s="62"/>
      <c r="E2" s="62"/>
      <c r="F2" s="62"/>
      <c r="G2" s="62"/>
      <c r="H2" s="62"/>
      <c r="I2" s="62"/>
      <c r="J2" s="62"/>
    </row>
    <row r="3" spans="1:10" x14ac:dyDescent="0.35">
      <c r="A3" t="s">
        <v>149</v>
      </c>
      <c r="B3" s="62"/>
      <c r="C3" s="62"/>
      <c r="D3" s="62"/>
      <c r="E3" s="62"/>
      <c r="F3" s="62"/>
      <c r="G3" s="62"/>
      <c r="H3" s="62"/>
      <c r="I3" s="62"/>
      <c r="J3" s="62"/>
    </row>
    <row r="4" spans="1:10" x14ac:dyDescent="0.35">
      <c r="B4" s="62"/>
      <c r="C4" s="62"/>
      <c r="D4" s="62"/>
      <c r="E4" s="62"/>
      <c r="F4" s="62"/>
      <c r="G4" s="62"/>
      <c r="H4" s="62"/>
      <c r="I4" s="62"/>
      <c r="J4" s="62"/>
    </row>
    <row r="5" spans="1:10" x14ac:dyDescent="0.35">
      <c r="A5" t="s">
        <v>148</v>
      </c>
      <c r="B5" s="62"/>
      <c r="C5" s="62"/>
      <c r="D5" s="62"/>
      <c r="E5" s="62"/>
      <c r="F5" s="62"/>
      <c r="G5" s="62"/>
      <c r="H5" s="62"/>
      <c r="I5" s="62"/>
      <c r="J5" s="62"/>
    </row>
    <row r="6" spans="1:10" x14ac:dyDescent="0.35">
      <c r="A6" t="s">
        <v>147</v>
      </c>
      <c r="B6" s="62"/>
      <c r="C6" s="62"/>
      <c r="D6" s="62"/>
      <c r="E6" s="62"/>
      <c r="F6" s="62"/>
      <c r="G6" s="62"/>
      <c r="H6" s="62"/>
      <c r="I6" s="62"/>
      <c r="J6" s="62"/>
    </row>
    <row r="7" spans="1:10" x14ac:dyDescent="0.35">
      <c r="A7" t="s">
        <v>146</v>
      </c>
      <c r="B7" s="62"/>
      <c r="C7" s="62"/>
      <c r="D7" s="62"/>
      <c r="E7" s="62"/>
      <c r="F7" s="62"/>
      <c r="G7" s="62"/>
      <c r="H7" s="62"/>
      <c r="I7" s="62"/>
      <c r="J7" s="62"/>
    </row>
    <row r="8" spans="1:10" x14ac:dyDescent="0.35">
      <c r="A8" t="s">
        <v>145</v>
      </c>
      <c r="B8" s="62"/>
      <c r="C8" s="62"/>
      <c r="D8" s="62"/>
      <c r="E8" s="62"/>
      <c r="F8" s="62"/>
      <c r="G8" s="62"/>
      <c r="H8" s="62"/>
      <c r="I8" s="62"/>
      <c r="J8" s="62"/>
    </row>
    <row r="9" spans="1:10" x14ac:dyDescent="0.35">
      <c r="A9" t="s">
        <v>144</v>
      </c>
      <c r="B9" s="62"/>
      <c r="C9" s="62"/>
      <c r="D9" s="62"/>
      <c r="E9" s="62"/>
      <c r="F9" s="62"/>
      <c r="G9" s="62"/>
      <c r="H9" s="62"/>
      <c r="I9" s="62"/>
      <c r="J9" s="62"/>
    </row>
    <row r="10" spans="1:10" x14ac:dyDescent="0.35">
      <c r="A10" t="s">
        <v>143</v>
      </c>
      <c r="B10" s="62"/>
      <c r="C10" s="62"/>
      <c r="D10" s="62"/>
      <c r="E10" s="62"/>
      <c r="F10" s="62"/>
      <c r="G10" s="62"/>
      <c r="H10" s="88"/>
      <c r="I10" s="88"/>
      <c r="J10" s="62"/>
    </row>
    <row r="11" spans="1:10" x14ac:dyDescent="0.35">
      <c r="A11" t="s">
        <v>142</v>
      </c>
      <c r="B11" s="62"/>
      <c r="C11" s="62"/>
      <c r="D11" s="62"/>
      <c r="E11" s="62"/>
      <c r="F11" s="62"/>
      <c r="G11" s="62"/>
      <c r="H11" s="88"/>
      <c r="I11" s="88"/>
      <c r="J11" s="62"/>
    </row>
    <row r="12" spans="1:10" x14ac:dyDescent="0.35">
      <c r="A12" t="s">
        <v>141</v>
      </c>
      <c r="B12" s="62"/>
      <c r="C12" s="62"/>
      <c r="D12" s="62"/>
      <c r="E12" s="62"/>
      <c r="F12" s="62"/>
      <c r="G12" s="62"/>
      <c r="H12" s="88"/>
      <c r="I12" s="88"/>
      <c r="J12" s="62"/>
    </row>
    <row r="13" spans="1:10" x14ac:dyDescent="0.35">
      <c r="A13" t="s">
        <v>140</v>
      </c>
      <c r="B13" s="62"/>
      <c r="C13" s="62"/>
      <c r="D13" s="62"/>
      <c r="E13" s="62"/>
      <c r="F13" s="62"/>
      <c r="G13" s="62"/>
      <c r="H13" s="88"/>
      <c r="I13" s="88"/>
      <c r="J13" s="62"/>
    </row>
    <row r="14" spans="1:10" x14ac:dyDescent="0.35">
      <c r="A14" t="s">
        <v>139</v>
      </c>
      <c r="B14" s="62"/>
      <c r="C14" s="62"/>
      <c r="D14" s="62"/>
      <c r="E14" s="62"/>
      <c r="F14" s="62"/>
      <c r="G14" s="62"/>
      <c r="H14" s="88"/>
      <c r="I14" s="88"/>
      <c r="J14" s="62"/>
    </row>
    <row r="15" spans="1:10" x14ac:dyDescent="0.35">
      <c r="A15" t="s">
        <v>138</v>
      </c>
      <c r="B15" s="62"/>
      <c r="C15" s="62"/>
      <c r="D15" s="62"/>
      <c r="E15" s="62"/>
      <c r="F15" s="62"/>
      <c r="G15" s="62"/>
      <c r="H15" s="88"/>
      <c r="I15" s="88"/>
      <c r="J15" s="62"/>
    </row>
    <row r="16" spans="1:10" x14ac:dyDescent="0.35">
      <c r="A16" t="s">
        <v>137</v>
      </c>
      <c r="B16" s="62"/>
      <c r="C16" s="62"/>
      <c r="D16" s="62"/>
      <c r="E16" s="62"/>
      <c r="F16" s="62"/>
      <c r="G16" s="62"/>
      <c r="H16" s="88"/>
      <c r="I16" s="88"/>
      <c r="J16" s="62"/>
    </row>
    <row r="17" spans="1:10" x14ac:dyDescent="0.35">
      <c r="A17" t="s">
        <v>136</v>
      </c>
      <c r="B17" s="62"/>
      <c r="C17" s="62"/>
      <c r="D17" s="62"/>
      <c r="E17" s="62"/>
      <c r="F17" s="62"/>
      <c r="G17" s="62"/>
      <c r="H17" s="88"/>
      <c r="I17" s="88"/>
      <c r="J17" s="62"/>
    </row>
    <row r="18" spans="1:10" x14ac:dyDescent="0.35">
      <c r="A18" s="65"/>
      <c r="B18" s="62"/>
      <c r="C18" s="62"/>
      <c r="D18" s="62"/>
      <c r="E18" s="62"/>
      <c r="F18" s="62"/>
      <c r="G18" s="62"/>
      <c r="H18" s="88"/>
      <c r="I18" s="88"/>
      <c r="J18" s="62"/>
    </row>
    <row r="19" spans="1:10" x14ac:dyDescent="0.35">
      <c r="A19" s="76" t="s">
        <v>56</v>
      </c>
      <c r="B19" s="76" t="s">
        <v>54</v>
      </c>
      <c r="C19" s="76" t="s">
        <v>53</v>
      </c>
      <c r="D19" s="76" t="s">
        <v>135</v>
      </c>
      <c r="E19" s="76" t="s">
        <v>134</v>
      </c>
      <c r="F19" s="76" t="s">
        <v>133</v>
      </c>
      <c r="G19" s="77" t="s">
        <v>132</v>
      </c>
      <c r="H19" s="89" t="s">
        <v>131</v>
      </c>
      <c r="I19" s="89" t="s">
        <v>130</v>
      </c>
      <c r="J19" s="78" t="s">
        <v>129</v>
      </c>
    </row>
    <row r="20" spans="1:10" hidden="1" outlineLevel="2" x14ac:dyDescent="0.35">
      <c r="A20" s="66" t="s">
        <v>29</v>
      </c>
      <c r="B20" s="66">
        <v>21930052</v>
      </c>
      <c r="C20" s="66" t="s">
        <v>48</v>
      </c>
      <c r="D20" s="67" t="s">
        <v>122</v>
      </c>
      <c r="E20" s="68" t="s">
        <v>128</v>
      </c>
      <c r="F20" s="66" t="s">
        <v>120</v>
      </c>
      <c r="G20" s="66" t="s">
        <v>58</v>
      </c>
      <c r="H20" s="90">
        <v>4832.26</v>
      </c>
      <c r="I20" s="90">
        <v>4832.26</v>
      </c>
      <c r="J20" s="70" t="s">
        <v>127</v>
      </c>
    </row>
    <row r="21" spans="1:10" hidden="1" outlineLevel="2" x14ac:dyDescent="0.35">
      <c r="A21" s="66" t="s">
        <v>29</v>
      </c>
      <c r="B21" s="66">
        <v>21930052</v>
      </c>
      <c r="C21" s="66" t="s">
        <v>48</v>
      </c>
      <c r="D21" s="67" t="s">
        <v>122</v>
      </c>
      <c r="E21" s="68" t="s">
        <v>126</v>
      </c>
      <c r="F21" s="66" t="s">
        <v>120</v>
      </c>
      <c r="G21" s="66" t="s">
        <v>58</v>
      </c>
      <c r="H21" s="90">
        <v>1626.69</v>
      </c>
      <c r="I21" s="90">
        <v>1626.69</v>
      </c>
      <c r="J21" s="70" t="s">
        <v>125</v>
      </c>
    </row>
    <row r="22" spans="1:10" hidden="1" outlineLevel="2" x14ac:dyDescent="0.35">
      <c r="A22" s="66" t="s">
        <v>29</v>
      </c>
      <c r="B22" s="66">
        <v>21930052</v>
      </c>
      <c r="C22" s="66" t="s">
        <v>48</v>
      </c>
      <c r="D22" s="67" t="s">
        <v>122</v>
      </c>
      <c r="E22" s="68" t="s">
        <v>124</v>
      </c>
      <c r="F22" s="66" t="s">
        <v>120</v>
      </c>
      <c r="G22" s="66" t="s">
        <v>58</v>
      </c>
      <c r="H22" s="90">
        <v>37450</v>
      </c>
      <c r="I22" s="90">
        <v>37450</v>
      </c>
      <c r="J22" s="70" t="s">
        <v>123</v>
      </c>
    </row>
    <row r="23" spans="1:10" hidden="1" outlineLevel="2" x14ac:dyDescent="0.35">
      <c r="A23" s="66" t="s">
        <v>29</v>
      </c>
      <c r="B23" s="66">
        <v>21930052</v>
      </c>
      <c r="C23" s="66" t="s">
        <v>48</v>
      </c>
      <c r="D23" s="67" t="s">
        <v>122</v>
      </c>
      <c r="E23" s="68" t="s">
        <v>121</v>
      </c>
      <c r="F23" s="66" t="s">
        <v>120</v>
      </c>
      <c r="G23" s="66" t="s">
        <v>58</v>
      </c>
      <c r="H23" s="90">
        <v>7089.83</v>
      </c>
      <c r="I23" s="90">
        <v>7089.83</v>
      </c>
      <c r="J23" s="70" t="s">
        <v>119</v>
      </c>
    </row>
    <row r="24" spans="1:10" hidden="1" outlineLevel="2" x14ac:dyDescent="0.35">
      <c r="A24" s="66" t="s">
        <v>29</v>
      </c>
      <c r="B24" s="66">
        <v>21930052</v>
      </c>
      <c r="C24" s="66" t="s">
        <v>30</v>
      </c>
      <c r="D24" s="67" t="s">
        <v>117</v>
      </c>
      <c r="E24" s="68" t="s">
        <v>118</v>
      </c>
      <c r="F24" s="66" t="s">
        <v>115</v>
      </c>
      <c r="G24" s="66" t="s">
        <v>58</v>
      </c>
      <c r="H24" s="90">
        <v>-10700</v>
      </c>
      <c r="I24" s="90">
        <v>-10700</v>
      </c>
      <c r="J24" s="70" t="s">
        <v>114</v>
      </c>
    </row>
    <row r="25" spans="1:10" hidden="1" outlineLevel="2" x14ac:dyDescent="0.35">
      <c r="A25" s="66" t="s">
        <v>29</v>
      </c>
      <c r="B25" s="66">
        <v>21930052</v>
      </c>
      <c r="C25" s="66" t="s">
        <v>30</v>
      </c>
      <c r="D25" s="67" t="s">
        <v>117</v>
      </c>
      <c r="E25" s="68" t="s">
        <v>116</v>
      </c>
      <c r="F25" s="66" t="s">
        <v>115</v>
      </c>
      <c r="G25" s="66" t="s">
        <v>58</v>
      </c>
      <c r="H25" s="90">
        <v>10700</v>
      </c>
      <c r="I25" s="90">
        <v>10700</v>
      </c>
      <c r="J25" s="70" t="s">
        <v>114</v>
      </c>
    </row>
    <row r="26" spans="1:10" hidden="1" outlineLevel="2" x14ac:dyDescent="0.35">
      <c r="A26" s="66" t="s">
        <v>29</v>
      </c>
      <c r="B26" s="66">
        <v>21930052</v>
      </c>
      <c r="C26" s="66" t="s">
        <v>28</v>
      </c>
      <c r="D26" s="67" t="s">
        <v>86</v>
      </c>
      <c r="E26" s="68" t="s">
        <v>113</v>
      </c>
      <c r="F26" s="66" t="s">
        <v>110</v>
      </c>
      <c r="G26" s="66" t="s">
        <v>58</v>
      </c>
      <c r="H26" s="90">
        <v>10000</v>
      </c>
      <c r="I26" s="90">
        <v>10000</v>
      </c>
      <c r="J26" s="70" t="s">
        <v>112</v>
      </c>
    </row>
    <row r="27" spans="1:10" hidden="1" outlineLevel="2" x14ac:dyDescent="0.35">
      <c r="A27" s="66" t="s">
        <v>29</v>
      </c>
      <c r="B27" s="66">
        <v>21930052</v>
      </c>
      <c r="C27" s="66" t="s">
        <v>28</v>
      </c>
      <c r="D27" s="67" t="s">
        <v>86</v>
      </c>
      <c r="E27" s="68" t="s">
        <v>111</v>
      </c>
      <c r="F27" s="66" t="s">
        <v>110</v>
      </c>
      <c r="G27" s="66" t="s">
        <v>58</v>
      </c>
      <c r="H27" s="90">
        <v>-10000</v>
      </c>
      <c r="I27" s="90">
        <v>-10000</v>
      </c>
      <c r="J27" s="70" t="s">
        <v>109</v>
      </c>
    </row>
    <row r="28" spans="1:10" hidden="1" outlineLevel="2" x14ac:dyDescent="0.35">
      <c r="A28" s="66" t="s">
        <v>29</v>
      </c>
      <c r="B28" s="66">
        <v>21930052</v>
      </c>
      <c r="C28" s="66" t="s">
        <v>47</v>
      </c>
      <c r="D28" s="67" t="s">
        <v>108</v>
      </c>
      <c r="E28" s="68" t="s">
        <v>107</v>
      </c>
      <c r="F28" s="66" t="s">
        <v>101</v>
      </c>
      <c r="G28" s="66" t="s">
        <v>58</v>
      </c>
      <c r="H28" s="90">
        <v>1186.73</v>
      </c>
      <c r="I28" s="90">
        <v>1186.73</v>
      </c>
      <c r="J28" s="70" t="s">
        <v>87</v>
      </c>
    </row>
    <row r="29" spans="1:10" hidden="1" outlineLevel="2" x14ac:dyDescent="0.35">
      <c r="A29" s="66" t="s">
        <v>29</v>
      </c>
      <c r="B29" s="66">
        <v>21930052</v>
      </c>
      <c r="C29" s="66" t="s">
        <v>47</v>
      </c>
      <c r="D29" s="67" t="s">
        <v>108</v>
      </c>
      <c r="E29" s="68" t="s">
        <v>107</v>
      </c>
      <c r="F29" s="66" t="s">
        <v>101</v>
      </c>
      <c r="G29" s="66" t="s">
        <v>58</v>
      </c>
      <c r="H29" s="90">
        <v>75.77</v>
      </c>
      <c r="I29" s="90">
        <v>75.77</v>
      </c>
      <c r="J29" s="70" t="s">
        <v>87</v>
      </c>
    </row>
    <row r="30" spans="1:10" hidden="1" outlineLevel="2" x14ac:dyDescent="0.35">
      <c r="A30" s="66" t="s">
        <v>29</v>
      </c>
      <c r="B30" s="66">
        <v>21930052</v>
      </c>
      <c r="C30" s="66" t="s">
        <v>46</v>
      </c>
      <c r="D30" s="67" t="s">
        <v>105</v>
      </c>
      <c r="E30" s="68" t="s">
        <v>104</v>
      </c>
      <c r="F30" s="66" t="s">
        <v>76</v>
      </c>
      <c r="G30" s="66" t="s">
        <v>58</v>
      </c>
      <c r="H30" s="90">
        <v>24.29</v>
      </c>
      <c r="I30" s="90">
        <v>24.29</v>
      </c>
      <c r="J30" s="70" t="s">
        <v>106</v>
      </c>
    </row>
    <row r="31" spans="1:10" hidden="1" outlineLevel="2" x14ac:dyDescent="0.35">
      <c r="A31" s="66" t="s">
        <v>29</v>
      </c>
      <c r="B31" s="66">
        <v>21930052</v>
      </c>
      <c r="C31" s="66" t="s">
        <v>46</v>
      </c>
      <c r="D31" s="67" t="s">
        <v>105</v>
      </c>
      <c r="E31" s="68" t="s">
        <v>104</v>
      </c>
      <c r="F31" s="66" t="s">
        <v>76</v>
      </c>
      <c r="G31" s="66" t="s">
        <v>58</v>
      </c>
      <c r="H31" s="90">
        <v>22.7</v>
      </c>
      <c r="I31" s="90">
        <v>22.7</v>
      </c>
      <c r="J31" s="70" t="s">
        <v>103</v>
      </c>
    </row>
    <row r="32" spans="1:10" hidden="1" outlineLevel="2" x14ac:dyDescent="0.35">
      <c r="A32" s="66" t="s">
        <v>29</v>
      </c>
      <c r="B32" s="66">
        <v>21930052</v>
      </c>
      <c r="C32" s="66" t="s">
        <v>45</v>
      </c>
      <c r="D32" s="67" t="s">
        <v>99</v>
      </c>
      <c r="E32" s="68" t="s">
        <v>102</v>
      </c>
      <c r="F32" s="66" t="s">
        <v>101</v>
      </c>
      <c r="G32" s="66" t="s">
        <v>58</v>
      </c>
      <c r="H32" s="90">
        <v>14727.17</v>
      </c>
      <c r="I32" s="90">
        <v>14727.17</v>
      </c>
      <c r="J32" s="70" t="s">
        <v>100</v>
      </c>
    </row>
    <row r="33" spans="1:10" hidden="1" outlineLevel="2" x14ac:dyDescent="0.35">
      <c r="A33" s="66" t="s">
        <v>29</v>
      </c>
      <c r="B33" s="66">
        <v>21930052</v>
      </c>
      <c r="C33" s="66" t="s">
        <v>45</v>
      </c>
      <c r="D33" s="67" t="s">
        <v>99</v>
      </c>
      <c r="E33" s="68" t="s">
        <v>98</v>
      </c>
      <c r="F33" s="66" t="s">
        <v>97</v>
      </c>
      <c r="G33" s="66" t="s">
        <v>58</v>
      </c>
      <c r="H33" s="90">
        <v>13.32</v>
      </c>
      <c r="I33" s="90">
        <v>13.32</v>
      </c>
      <c r="J33" s="70" t="s">
        <v>87</v>
      </c>
    </row>
    <row r="34" spans="1:10" hidden="1" outlineLevel="2" x14ac:dyDescent="0.35">
      <c r="A34" s="66" t="s">
        <v>29</v>
      </c>
      <c r="B34" s="66">
        <v>21930052</v>
      </c>
      <c r="C34" s="66" t="s">
        <v>41</v>
      </c>
      <c r="D34" s="67" t="s">
        <v>96</v>
      </c>
      <c r="E34" s="68" t="s">
        <v>95</v>
      </c>
      <c r="F34" s="66" t="s">
        <v>76</v>
      </c>
      <c r="G34" s="66" t="s">
        <v>58</v>
      </c>
      <c r="H34" s="90">
        <v>1174288.1100000001</v>
      </c>
      <c r="I34" s="90">
        <v>1174288.1100000001</v>
      </c>
      <c r="J34" s="70" t="s">
        <v>94</v>
      </c>
    </row>
    <row r="35" spans="1:10" hidden="1" outlineLevel="2" x14ac:dyDescent="0.35">
      <c r="A35" s="66" t="s">
        <v>29</v>
      </c>
      <c r="B35" s="66">
        <v>21930052</v>
      </c>
      <c r="C35" s="66" t="s">
        <v>43</v>
      </c>
      <c r="D35" s="67" t="s">
        <v>93</v>
      </c>
      <c r="E35" s="68" t="s">
        <v>92</v>
      </c>
      <c r="F35" s="66" t="s">
        <v>59</v>
      </c>
      <c r="G35" s="66" t="s">
        <v>58</v>
      </c>
      <c r="H35" s="90">
        <v>35000</v>
      </c>
      <c r="I35" s="90">
        <v>35000</v>
      </c>
      <c r="J35" s="70" t="s">
        <v>91</v>
      </c>
    </row>
    <row r="36" spans="1:10" hidden="1" outlineLevel="2" x14ac:dyDescent="0.35">
      <c r="A36" s="66" t="s">
        <v>29</v>
      </c>
      <c r="B36" s="66">
        <v>21930052</v>
      </c>
      <c r="C36" s="66" t="s">
        <v>42</v>
      </c>
      <c r="D36" s="67" t="s">
        <v>90</v>
      </c>
      <c r="E36" s="68" t="s">
        <v>89</v>
      </c>
      <c r="F36" s="66" t="s">
        <v>88</v>
      </c>
      <c r="G36" s="66" t="s">
        <v>58</v>
      </c>
      <c r="H36" s="90">
        <v>306.39</v>
      </c>
      <c r="I36" s="90">
        <v>306.39</v>
      </c>
      <c r="J36" s="70" t="s">
        <v>87</v>
      </c>
    </row>
    <row r="37" spans="1:10" outlineLevel="1" collapsed="1" x14ac:dyDescent="0.35">
      <c r="A37" s="84" t="s">
        <v>151</v>
      </c>
      <c r="B37" s="79"/>
      <c r="C37" s="79"/>
      <c r="D37" s="80"/>
      <c r="E37" s="81"/>
      <c r="F37" s="79"/>
      <c r="G37" s="79"/>
      <c r="H37" s="91">
        <f>SUBTOTAL(9,H20:H36)</f>
        <v>1276643.26</v>
      </c>
      <c r="I37" s="91">
        <f>SUBTOTAL(9,I20:I36)</f>
        <v>1276643.26</v>
      </c>
      <c r="J37" s="83"/>
    </row>
    <row r="38" spans="1:10" hidden="1" outlineLevel="2" x14ac:dyDescent="0.35">
      <c r="A38" s="66" t="s">
        <v>39</v>
      </c>
      <c r="B38" s="66">
        <v>21930052</v>
      </c>
      <c r="C38" s="66" t="s">
        <v>28</v>
      </c>
      <c r="D38" s="67" t="s">
        <v>86</v>
      </c>
      <c r="E38" s="68" t="s">
        <v>85</v>
      </c>
      <c r="F38" s="66" t="s">
        <v>59</v>
      </c>
      <c r="G38" s="66" t="s">
        <v>58</v>
      </c>
      <c r="H38" s="90">
        <v>12402.93</v>
      </c>
      <c r="I38" s="90">
        <v>12402.93</v>
      </c>
      <c r="J38" s="70" t="s">
        <v>68</v>
      </c>
    </row>
    <row r="39" spans="1:10" outlineLevel="1" collapsed="1" x14ac:dyDescent="0.35">
      <c r="A39" s="84" t="s">
        <v>152</v>
      </c>
      <c r="B39" s="79"/>
      <c r="C39" s="79"/>
      <c r="D39" s="80"/>
      <c r="E39" s="81"/>
      <c r="F39" s="79"/>
      <c r="G39" s="79"/>
      <c r="H39" s="85">
        <f>SUBTOTAL(9,H38:H38)</f>
        <v>12402.93</v>
      </c>
      <c r="I39" s="85">
        <f>SUBTOTAL(9,I38:I38)</f>
        <v>12402.93</v>
      </c>
      <c r="J39" s="83"/>
    </row>
    <row r="40" spans="1:10" hidden="1" outlineLevel="2" x14ac:dyDescent="0.35">
      <c r="A40" s="66" t="s">
        <v>38</v>
      </c>
      <c r="B40" s="66">
        <v>21930052</v>
      </c>
      <c r="C40" s="66" t="s">
        <v>37</v>
      </c>
      <c r="D40" s="67" t="s">
        <v>78</v>
      </c>
      <c r="E40" s="68" t="s">
        <v>84</v>
      </c>
      <c r="F40" s="66" t="s">
        <v>76</v>
      </c>
      <c r="G40" s="66" t="s">
        <v>58</v>
      </c>
      <c r="H40" s="69">
        <v>133926.51</v>
      </c>
      <c r="I40" s="69">
        <v>133926.51</v>
      </c>
      <c r="J40" s="70" t="s">
        <v>83</v>
      </c>
    </row>
    <row r="41" spans="1:10" hidden="1" outlineLevel="2" x14ac:dyDescent="0.35">
      <c r="A41" s="66" t="s">
        <v>38</v>
      </c>
      <c r="B41" s="66">
        <v>21930052</v>
      </c>
      <c r="C41" s="66" t="s">
        <v>37</v>
      </c>
      <c r="D41" s="67" t="s">
        <v>78</v>
      </c>
      <c r="E41" s="68" t="s">
        <v>82</v>
      </c>
      <c r="F41" s="66" t="s">
        <v>76</v>
      </c>
      <c r="G41" s="66" t="s">
        <v>58</v>
      </c>
      <c r="H41" s="69">
        <v>7733.4</v>
      </c>
      <c r="I41" s="69">
        <v>7733.4</v>
      </c>
      <c r="J41" s="70" t="s">
        <v>81</v>
      </c>
    </row>
    <row r="42" spans="1:10" hidden="1" outlineLevel="2" x14ac:dyDescent="0.35">
      <c r="A42" s="66" t="s">
        <v>38</v>
      </c>
      <c r="B42" s="66">
        <v>21930052</v>
      </c>
      <c r="C42" s="66" t="s">
        <v>37</v>
      </c>
      <c r="D42" s="67" t="s">
        <v>78</v>
      </c>
      <c r="E42" s="68" t="s">
        <v>80</v>
      </c>
      <c r="F42" s="66" t="s">
        <v>76</v>
      </c>
      <c r="G42" s="66" t="s">
        <v>58</v>
      </c>
      <c r="H42" s="69">
        <v>95534.24</v>
      </c>
      <c r="I42" s="69">
        <v>95534.24</v>
      </c>
      <c r="J42" s="70" t="s">
        <v>79</v>
      </c>
    </row>
    <row r="43" spans="1:10" hidden="1" outlineLevel="2" x14ac:dyDescent="0.35">
      <c r="A43" s="66" t="s">
        <v>38</v>
      </c>
      <c r="B43" s="66">
        <v>21930052</v>
      </c>
      <c r="C43" s="66" t="s">
        <v>37</v>
      </c>
      <c r="D43" s="67" t="s">
        <v>78</v>
      </c>
      <c r="E43" s="68" t="s">
        <v>77</v>
      </c>
      <c r="F43" s="66" t="s">
        <v>76</v>
      </c>
      <c r="G43" s="66" t="s">
        <v>58</v>
      </c>
      <c r="H43" s="69">
        <v>59373.120000000003</v>
      </c>
      <c r="I43" s="69">
        <v>59373.120000000003</v>
      </c>
      <c r="J43" s="70" t="s">
        <v>75</v>
      </c>
    </row>
    <row r="44" spans="1:10" outlineLevel="1" collapsed="1" x14ac:dyDescent="0.35">
      <c r="A44" s="84" t="s">
        <v>153</v>
      </c>
      <c r="B44" s="79"/>
      <c r="C44" s="79"/>
      <c r="D44" s="80"/>
      <c r="E44" s="81"/>
      <c r="F44" s="79"/>
      <c r="G44" s="79"/>
      <c r="H44" s="85">
        <f>SUBTOTAL(9,H40:H43)</f>
        <v>296567.27</v>
      </c>
      <c r="I44" s="85">
        <f>SUBTOTAL(9,I40:I43)</f>
        <v>296567.27</v>
      </c>
      <c r="J44" s="83"/>
    </row>
    <row r="45" spans="1:10" hidden="1" outlineLevel="2" x14ac:dyDescent="0.35">
      <c r="A45" s="66" t="s">
        <v>36</v>
      </c>
      <c r="B45" s="66">
        <v>21930052</v>
      </c>
      <c r="C45" s="66" t="s">
        <v>35</v>
      </c>
      <c r="D45" s="67" t="s">
        <v>70</v>
      </c>
      <c r="E45" s="68" t="s">
        <v>74</v>
      </c>
      <c r="F45" s="66" t="s">
        <v>59</v>
      </c>
      <c r="G45" s="66" t="s">
        <v>58</v>
      </c>
      <c r="H45" s="69">
        <v>29271.72</v>
      </c>
      <c r="I45" s="69">
        <v>29271.72</v>
      </c>
      <c r="J45" s="70" t="s">
        <v>73</v>
      </c>
    </row>
    <row r="46" spans="1:10" hidden="1" outlineLevel="2" x14ac:dyDescent="0.35">
      <c r="A46" s="66" t="s">
        <v>36</v>
      </c>
      <c r="B46" s="66">
        <v>21930052</v>
      </c>
      <c r="C46" s="66" t="s">
        <v>35</v>
      </c>
      <c r="D46" s="67" t="s">
        <v>70</v>
      </c>
      <c r="E46" s="68" t="s">
        <v>72</v>
      </c>
      <c r="F46" s="66" t="s">
        <v>59</v>
      </c>
      <c r="G46" s="66" t="s">
        <v>58</v>
      </c>
      <c r="H46" s="69">
        <v>45976.66</v>
      </c>
      <c r="I46" s="69">
        <v>45976.66</v>
      </c>
      <c r="J46" s="70" t="s">
        <v>71</v>
      </c>
    </row>
    <row r="47" spans="1:10" hidden="1" outlineLevel="2" x14ac:dyDescent="0.35">
      <c r="A47" s="66" t="s">
        <v>36</v>
      </c>
      <c r="B47" s="66">
        <v>21930052</v>
      </c>
      <c r="C47" s="66" t="s">
        <v>35</v>
      </c>
      <c r="D47" s="67" t="s">
        <v>70</v>
      </c>
      <c r="E47" s="68" t="s">
        <v>69</v>
      </c>
      <c r="F47" s="66" t="s">
        <v>59</v>
      </c>
      <c r="G47" s="66" t="s">
        <v>58</v>
      </c>
      <c r="H47" s="69">
        <v>8012.42</v>
      </c>
      <c r="I47" s="69">
        <v>8012.42</v>
      </c>
      <c r="J47" s="70" t="s">
        <v>68</v>
      </c>
    </row>
    <row r="48" spans="1:10" outlineLevel="1" collapsed="1" x14ac:dyDescent="0.35">
      <c r="A48" s="84" t="s">
        <v>154</v>
      </c>
      <c r="B48" s="79"/>
      <c r="C48" s="79"/>
      <c r="D48" s="80"/>
      <c r="E48" s="81"/>
      <c r="F48" s="79"/>
      <c r="G48" s="79"/>
      <c r="H48" s="85">
        <f>SUBTOTAL(9,H45:H47)</f>
        <v>83260.800000000003</v>
      </c>
      <c r="I48" s="85">
        <f>SUBTOTAL(9,I45:I47)</f>
        <v>83260.800000000003</v>
      </c>
      <c r="J48" s="83"/>
    </row>
    <row r="49" spans="1:10" hidden="1" outlineLevel="2" x14ac:dyDescent="0.35">
      <c r="A49" s="66" t="s">
        <v>34</v>
      </c>
      <c r="B49" s="66">
        <v>21930052</v>
      </c>
      <c r="C49" s="66" t="s">
        <v>31</v>
      </c>
      <c r="D49" s="67" t="s">
        <v>61</v>
      </c>
      <c r="E49" s="68" t="s">
        <v>67</v>
      </c>
      <c r="F49" s="66" t="s">
        <v>59</v>
      </c>
      <c r="G49" s="66" t="s">
        <v>58</v>
      </c>
      <c r="H49" s="69">
        <v>31279.360000000001</v>
      </c>
      <c r="I49" s="69">
        <v>31279.360000000001</v>
      </c>
      <c r="J49" s="70" t="s">
        <v>66</v>
      </c>
    </row>
    <row r="50" spans="1:10" hidden="1" outlineLevel="2" x14ac:dyDescent="0.35">
      <c r="A50" s="66" t="s">
        <v>34</v>
      </c>
      <c r="B50" s="66">
        <v>21930052</v>
      </c>
      <c r="C50" s="66" t="s">
        <v>31</v>
      </c>
      <c r="D50" s="67" t="s">
        <v>61</v>
      </c>
      <c r="E50" s="68" t="s">
        <v>65</v>
      </c>
      <c r="F50" s="66" t="s">
        <v>59</v>
      </c>
      <c r="G50" s="66" t="s">
        <v>58</v>
      </c>
      <c r="H50" s="69">
        <v>48369.440000000002</v>
      </c>
      <c r="I50" s="69">
        <v>48369.440000000002</v>
      </c>
      <c r="J50" s="70" t="s">
        <v>64</v>
      </c>
    </row>
    <row r="51" spans="1:10" hidden="1" outlineLevel="2" x14ac:dyDescent="0.35">
      <c r="A51" s="66" t="s">
        <v>34</v>
      </c>
      <c r="B51" s="66">
        <v>21930052</v>
      </c>
      <c r="C51" s="66" t="s">
        <v>31</v>
      </c>
      <c r="D51" s="67" t="s">
        <v>61</v>
      </c>
      <c r="E51" s="68" t="s">
        <v>63</v>
      </c>
      <c r="F51" s="66" t="s">
        <v>59</v>
      </c>
      <c r="G51" s="66" t="s">
        <v>58</v>
      </c>
      <c r="H51" s="69">
        <v>6043.53</v>
      </c>
      <c r="I51" s="69">
        <v>6043.53</v>
      </c>
      <c r="J51" s="70" t="s">
        <v>62</v>
      </c>
    </row>
    <row r="52" spans="1:10" hidden="1" outlineLevel="2" x14ac:dyDescent="0.35">
      <c r="A52" s="71" t="s">
        <v>34</v>
      </c>
      <c r="B52" s="71">
        <v>21930052</v>
      </c>
      <c r="C52" s="71" t="s">
        <v>31</v>
      </c>
      <c r="D52" s="72" t="s">
        <v>61</v>
      </c>
      <c r="E52" s="73" t="s">
        <v>60</v>
      </c>
      <c r="F52" s="71" t="s">
        <v>59</v>
      </c>
      <c r="G52" s="71" t="s">
        <v>58</v>
      </c>
      <c r="H52" s="74">
        <v>67807.61</v>
      </c>
      <c r="I52" s="74">
        <v>67807.61</v>
      </c>
      <c r="J52" s="75" t="s">
        <v>57</v>
      </c>
    </row>
    <row r="53" spans="1:10" outlineLevel="1" collapsed="1" x14ac:dyDescent="0.35">
      <c r="A53" s="87" t="s">
        <v>155</v>
      </c>
      <c r="B53" s="79"/>
      <c r="C53" s="79"/>
      <c r="D53" s="80"/>
      <c r="E53" s="81"/>
      <c r="F53" s="79"/>
      <c r="G53" s="79"/>
      <c r="H53" s="85">
        <f>SUBTOTAL(9,H49:H52)</f>
        <v>153499.94</v>
      </c>
      <c r="I53" s="85">
        <f>SUBTOTAL(9,I49:I52)</f>
        <v>153499.94</v>
      </c>
      <c r="J53" s="86"/>
    </row>
    <row r="54" spans="1:10" x14ac:dyDescent="0.35">
      <c r="A54" s="87" t="s">
        <v>156</v>
      </c>
      <c r="B54" s="79"/>
      <c r="C54" s="79"/>
      <c r="D54" s="80"/>
      <c r="E54" s="81"/>
      <c r="F54" s="79"/>
      <c r="G54" s="79"/>
      <c r="H54" s="85">
        <f>SUBTOTAL(9,H20:H52)</f>
        <v>1822374.2</v>
      </c>
      <c r="I54" s="85">
        <f>SUBTOTAL(9,I20:I52)</f>
        <v>1822374.2</v>
      </c>
      <c r="J54" s="86"/>
    </row>
  </sheetData>
  <sortState xmlns:xlrd2="http://schemas.microsoft.com/office/spreadsheetml/2017/richdata2" ref="A20:L52">
    <sortCondition ref="L20:L52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11B92B55C11C4EA792555213B10FD1" ma:contentTypeVersion="20" ma:contentTypeDescription="Create a new document." ma:contentTypeScope="" ma:versionID="65a7de59a3c7ed83ee8ccfe2bc518e37">
  <xsd:schema xmlns:xsd="http://www.w3.org/2001/XMLSchema" xmlns:xs="http://www.w3.org/2001/XMLSchema" xmlns:p="http://schemas.microsoft.com/office/2006/metadata/properties" xmlns:ns2="aa3853dd-127f-4731-ba21-4b778ed7aa48" xmlns:ns3="d870f16b-7942-48f1-baf7-9b11462bb5a2" targetNamespace="http://schemas.microsoft.com/office/2006/metadata/properties" ma:root="true" ma:fieldsID="a051834017bf8e96af61db882516ff12" ns2:_="" ns3:_="">
    <xsd:import namespace="aa3853dd-127f-4731-ba21-4b778ed7aa48"/>
    <xsd:import namespace="d870f16b-7942-48f1-baf7-9b11462bb5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ExpiryDat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853dd-127f-4731-ba21-4b778ed7aa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3ca56a5-f7a3-46b4-8333-1fd6a9d1a6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xpiryDate" ma:index="24" nillable="true" ma:displayName="Expiry Date" ma:description="Bank Guarantee Expiry Date" ma:format="DateOnly" ma:internalName="ExpiryDat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70f16b-7942-48f1-baf7-9b11462bb5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ef53dbc-032b-4cac-bf3d-0a4dff5ab042}" ma:internalName="TaxCatchAll" ma:showField="CatchAllData" ma:web="d870f16b-7942-48f1-baf7-9b11462bb5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70f16b-7942-48f1-baf7-9b11462bb5a2" xsi:nil="true"/>
    <lcf76f155ced4ddcb4097134ff3c332f xmlns="aa3853dd-127f-4731-ba21-4b778ed7aa48">
      <Terms xmlns="http://schemas.microsoft.com/office/infopath/2007/PartnerControls"/>
    </lcf76f155ced4ddcb4097134ff3c332f>
    <ExpiryDate xmlns="aa3853dd-127f-4731-ba21-4b778ed7aa48" xsi:nil="true"/>
  </documentManagement>
</p:properties>
</file>

<file path=customXml/itemProps1.xml><?xml version="1.0" encoding="utf-8"?>
<ds:datastoreItem xmlns:ds="http://schemas.openxmlformats.org/officeDocument/2006/customXml" ds:itemID="{40E40766-7EB4-4132-A98F-AFA171778C32}"/>
</file>

<file path=customXml/itemProps2.xml><?xml version="1.0" encoding="utf-8"?>
<ds:datastoreItem xmlns:ds="http://schemas.openxmlformats.org/officeDocument/2006/customXml" ds:itemID="{0EDDF1E3-830B-49B6-B8A5-6D7A35E891A7}"/>
</file>

<file path=customXml/itemProps3.xml><?xml version="1.0" encoding="utf-8"?>
<ds:datastoreItem xmlns:ds="http://schemas.openxmlformats.org/officeDocument/2006/customXml" ds:itemID="{CFCBD65D-9007-4AF1-8031-D2C69DCC43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TB 21930052</vt:lpstr>
      <vt:lpstr>Accounts Payable 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Supawan Payungsaksakul</dc:creator>
  <cp:lastModifiedBy>Supawan Payungsaksakul</cp:lastModifiedBy>
  <dcterms:created xsi:type="dcterms:W3CDTF">2026-09-10T03:49:58Z</dcterms:created>
  <dcterms:modified xsi:type="dcterms:W3CDTF">2026-09-10T03:49:59Z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0x0101003911B92B55C11C4EA792555213B10FD1</vt:lpwstr>
  </property>
</Properties>
</file>